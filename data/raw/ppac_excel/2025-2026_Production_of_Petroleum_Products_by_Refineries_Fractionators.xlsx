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W:\Server-supply division\Supply Division\4_Production\2025 - 26\Website data for Production\Website data without formula\"/>
    </mc:Choice>
  </mc:AlternateContent>
  <xr:revisionPtr revIDLastSave="0" documentId="13_ncr:1_{13BA2A70-D87F-4A9C-9EC6-B777B56B99E4}" xr6:coauthVersionLast="47" xr6:coauthVersionMax="47" xr10:uidLastSave="{00000000-0000-0000-0000-000000000000}"/>
  <bookViews>
    <workbookView xWindow="-120" yWindow="-120" windowWidth="29040" windowHeight="15720" xr2:uid="{85E78021-46A1-4BE5-8D3F-0221717DCA86}"/>
  </bookViews>
  <sheets>
    <sheet name="PT_PRODUCTION" sheetId="1" r:id="rId1"/>
    <sheet name="Monthwise 24-25 (P)" sheetId="2" state="hidden" r:id="rId2"/>
  </sheets>
  <externalReferences>
    <externalReference r:id="rId3"/>
  </externalReferences>
  <definedNames>
    <definedName name="\I">#REF!</definedName>
    <definedName name="\P">#REF!</definedName>
    <definedName name="__PG8">#REF!</definedName>
    <definedName name="_Fill" hidden="1">#REF!</definedName>
    <definedName name="_Key1" hidden="1">#REF!</definedName>
    <definedName name="_Order1" hidden="1">255</definedName>
    <definedName name="_PG8">#REF!</definedName>
    <definedName name="_Sort" hidden="1">#REF!</definedName>
    <definedName name="_Table2_In1" hidden="1">#REF!</definedName>
    <definedName name="_Table2_Out" hidden="1">#REF!</definedName>
    <definedName name="a" hidden="1">{#N/A,#N/A,FALSE,"F-YLDS";#N/A,#N/A,FALSE,"ASP";#N/A,#N/A,FALSE,"FRPRD"}</definedName>
    <definedName name="aa">'[1]Oil Consumption – barrels'!#REF!</definedName>
    <definedName name="abc" hidden="1">#REF!</definedName>
    <definedName name="Ankleshwar">#REF!</definedName>
    <definedName name="aq" hidden="1">{#N/A,#N/A,FALSE,"FRPRD"}</definedName>
    <definedName name="b" hidden="1">{#N/A,#N/A,FALSE,"F-YLDS";#N/A,#N/A,FALSE,"ASP";#N/A,#N/A,FALSE,"FRPRD"}</definedName>
    <definedName name="cd" hidden="1">{#N/A,#N/A,FALSE,"FRPRD"}</definedName>
    <definedName name="d" hidden="1">{#N/A,#N/A,FALSE,"F-YLDS";#N/A,#N/A,FALSE,"ASP";#N/A,#N/A,FALSE,"FRPRD"}</definedName>
    <definedName name="df" hidden="1">{#N/A,#N/A,FALSE,"FRPRD"}</definedName>
    <definedName name="ed" hidden="1">{#N/A,#N/A,FALSE,"FRPRD"}</definedName>
    <definedName name="er" hidden="1">{#N/A,#N/A,FALSE,"F-YLDS";#N/A,#N/A,FALSE,"ASP";#N/A,#N/A,FALSE,"FRPRD"}</definedName>
    <definedName name="Exp." hidden="1">{#N/A,#N/A,FALSE,"F-YLDS";#N/A,#N/A,FALSE,"ASP";#N/A,#N/A,FALSE,"FRPRD"}</definedName>
    <definedName name="fg" hidden="1">{#N/A,#N/A,FALSE,"FRPRD"}</definedName>
    <definedName name="g" hidden="1">{#N/A,#N/A,FALSE,"F-YLDS";#N/A,#N/A,FALSE,"ASP";#N/A,#N/A,FALSE,"FRPRD"}</definedName>
    <definedName name="gh" hidden="1">{#N/A,#N/A,FALSE,"F-YLDS";#N/A,#N/A,FALSE,"ASP";#N/A,#N/A,FALSE,"FRPRD"}</definedName>
    <definedName name="Hazira">#REF!</definedName>
    <definedName name="hg" hidden="1">{#N/A,#N/A,FALSE,"F-YLDS";#N/A,#N/A,FALSE,"ASP";#N/A,#N/A,FALSE,"FRPRD"}</definedName>
    <definedName name="i" hidden="1">{#N/A,#N/A,FALSE,"F-YLDS";#N/A,#N/A,FALSE,"ASP";#N/A,#N/A,FALSE,"FRPRD"}</definedName>
    <definedName name="ik" hidden="1">{#N/A,#N/A,FALSE,"FRPRD"}</definedName>
    <definedName name="INIT">#REF!</definedName>
    <definedName name="j" hidden="1">{#N/A,#N/A,FALSE,"FRPRD"}</definedName>
    <definedName name="jc" hidden="1">{#N/A,#N/A,FALSE,"FRPRD"}</definedName>
    <definedName name="jhc" hidden="1">{#N/A,#N/A,FALSE,"F-YLDS";#N/A,#N/A,FALSE,"ASP";#N/A,#N/A,FALSE,"FRPRD"}</definedName>
    <definedName name="jk" hidden="1">{#N/A,#N/A,FALSE,"FRPRD"}</definedName>
    <definedName name="k" hidden="1">{#N/A,#N/A,FALSE,"FRPRD"}</definedName>
    <definedName name="LEAP">#REF!</definedName>
    <definedName name="m" hidden="1">{#N/A,#N/A,FALSE,"F-YLDS";#N/A,#N/A,FALSE,"ASP";#N/A,#N/A,FALSE,"FRPRD"}</definedName>
    <definedName name="n" hidden="1">{#N/A,#N/A,FALSE,"FRPRD"}</definedName>
    <definedName name="NONLEAP">#REF!</definedName>
    <definedName name="o" hidden="1">{#N/A,#N/A,FALSE,"FRPRD"}</definedName>
    <definedName name="ol" hidden="1">{#N/A,#N/A,FALSE,"F-YLDS";#N/A,#N/A,FALSE,"ASP";#N/A,#N/A,FALSE,"FRPRD"}</definedName>
    <definedName name="p" hidden="1">{#N/A,#N/A,FALSE,"FRPRD"}</definedName>
    <definedName name="page2">#REF!</definedName>
    <definedName name="Page3">#REF!</definedName>
    <definedName name="PAGE7">#REF!</definedName>
    <definedName name="pl" hidden="1">{#N/A,#N/A,FALSE,"FRPRD"}</definedName>
    <definedName name="Print1">#REF!</definedName>
    <definedName name="q" hidden="1">{#N/A,#N/A,FALSE,"FRPRD"}</definedName>
    <definedName name="qa" hidden="1">{#N/A,#N/A,FALSE,"FRPRD"}</definedName>
    <definedName name="qw" hidden="1">{#N/A,#N/A,FALSE,"F-YLDS";#N/A,#N/A,FALSE,"ASP";#N/A,#N/A,FALSE,"FRPRD"}</definedName>
    <definedName name="rf" hidden="1">{#N/A,#N/A,FALSE,"F-YLDS";#N/A,#N/A,FALSE,"ASP";#N/A,#N/A,FALSE,"FRPRD"}</definedName>
    <definedName name="sd" hidden="1">{#N/A,#N/A,FALSE,"F-YLDS";#N/A,#N/A,FALSE,"ASP";#N/A,#N/A,FALSE,"FRPRD"}</definedName>
    <definedName name="t" hidden="1">{#N/A,#N/A,FALSE,"FRPRD"}</definedName>
    <definedName name="tg" hidden="1">{#N/A,#N/A,FALSE,"FRPRD"}</definedName>
    <definedName name="uj" hidden="1">{#N/A,#N/A,FALSE,"F-YLDS";#N/A,#N/A,FALSE,"ASP";#N/A,#N/A,FALSE,"FRPRD"}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" hidden="1">{#N/A,#N/A,FALSE,"F-YLDS";#N/A,#N/A,FALSE,"ASP";#N/A,#N/A,FALSE,"FRPRD"}</definedName>
    <definedName name="VR" hidden="1">{#N/A,#N/A,FALSE,"F-YLDS";#N/A,#N/A,FALSE,"ASP";#N/A,#N/A,FALSE,"FRPRD"}</definedName>
    <definedName name="vrr" hidden="1">{#N/A,#N/A,FALSE,"FRPRD"}</definedName>
    <definedName name="w" hidden="1">{#N/A,#N/A,FALSE,"F-YLDS";#N/A,#N/A,FALSE,"ASP";#N/A,#N/A,FALSE,"FRPRD"}</definedName>
    <definedName name="we" hidden="1">{#N/A,#N/A,FALSE,"FRPRD"}</definedName>
    <definedName name="wrn.frprd." hidden="1">{#N/A,#N/A,FALSE,"FRPRD"}</definedName>
    <definedName name="wrn.ylds." hidden="1">{#N/A,#N/A,FALSE,"F-YLDS";#N/A,#N/A,FALSE,"ASP";#N/A,#N/A,FALSE,"FRPRD"}</definedName>
    <definedName name="ws" hidden="1">{#N/A,#N/A,FALSE,"F-YLDS";#N/A,#N/A,FALSE,"ASP";#N/A,#N/A,FALSE,"FRPRD"}</definedName>
    <definedName name="x" hidden="1">{#N/A,#N/A,FALSE,"F-YLDS";#N/A,#N/A,FALSE,"ASP";#N/A,#N/A,FALSE,"FRPRD"}</definedName>
    <definedName name="xs" hidden="1">{#N/A,#N/A,FALSE,"F-YLDS";#N/A,#N/A,FALSE,"ASP";#N/A,#N/A,FALSE,"FRPRD"}</definedName>
    <definedName name="y" hidden="1">{#N/A,#N/A,FALSE,"F-YLDS";#N/A,#N/A,FALSE,"ASP";#N/A,#N/A,FALSE,"FRPRD"}</definedName>
    <definedName name="yh" hidden="1">{#N/A,#N/A,FALSE,"FRPRD"}</definedName>
    <definedName name="z" hidden="1">{#N/A,#N/A,FALSE,"FRPRD"}</definedName>
    <definedName name="za" hidden="1">{#N/A,#N/A,FALSE,"F-YLDS";#N/A,#N/A,FALSE,"ASP";#N/A,#N/A,FALSE,"FRPRD"}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2" l="1"/>
  <c r="L30" i="2"/>
  <c r="K30" i="2"/>
  <c r="J30" i="2"/>
  <c r="I30" i="2"/>
  <c r="H30" i="2"/>
  <c r="G30" i="2"/>
  <c r="F30" i="2"/>
  <c r="E30" i="2"/>
  <c r="D30" i="2"/>
  <c r="C30" i="2"/>
  <c r="B30" i="2"/>
  <c r="N29" i="2"/>
  <c r="N27" i="2"/>
  <c r="N30" i="2"/>
  <c r="M25" i="2"/>
  <c r="L25" i="2"/>
  <c r="K25" i="2"/>
  <c r="J25" i="2"/>
  <c r="I25" i="2"/>
  <c r="H25" i="2"/>
  <c r="G25" i="2"/>
  <c r="F25" i="2"/>
  <c r="E25" i="2"/>
  <c r="D25" i="2"/>
  <c r="C25" i="2"/>
  <c r="B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25" i="2"/>
</calcChain>
</file>

<file path=xl/sharedStrings.xml><?xml version="1.0" encoding="utf-8"?>
<sst xmlns="http://schemas.openxmlformats.org/spreadsheetml/2006/main" count="79" uniqueCount="41">
  <si>
    <t>Petroleum Planning &amp; Analysis Cell</t>
  </si>
  <si>
    <t>('000 Metric Tonnes)</t>
  </si>
  <si>
    <t>Production of Petroleum Products by Refineries &amp; Fractionators</t>
  </si>
  <si>
    <t>PRODUCTS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</si>
  <si>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</si>
  <si>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</si>
  <si>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</si>
  <si>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</si>
  <si>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</si>
  <si>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</si>
  <si>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</si>
  <si>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</si>
  <si>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</si>
  <si>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</si>
  <si>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</si>
  <si>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</si>
  <si>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</si>
  <si>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LPG</t>
  </si>
  <si>
    <t>NAPHTHA</t>
  </si>
  <si>
    <t>MS-VI</t>
  </si>
  <si>
    <t>MS Others</t>
  </si>
  <si>
    <t>ATF</t>
  </si>
  <si>
    <t>SKO</t>
  </si>
  <si>
    <t>HSD-IV</t>
  </si>
  <si>
    <t>HSD-VI</t>
  </si>
  <si>
    <t>HSD Others</t>
  </si>
  <si>
    <t>LDO</t>
  </si>
  <si>
    <t>LUBES</t>
  </si>
  <si>
    <t>FO</t>
  </si>
  <si>
    <t>LSHS</t>
  </si>
  <si>
    <t>BITUMEN</t>
  </si>
  <si>
    <t>RPC/Petcoke</t>
  </si>
  <si>
    <t>Others</t>
  </si>
  <si>
    <t>TOTAL,</t>
  </si>
  <si>
    <t>of which</t>
  </si>
  <si>
    <t>REFINERIES</t>
  </si>
  <si>
    <t>FRACTIONATORS</t>
  </si>
  <si>
    <t>Note :</t>
  </si>
  <si>
    <t>All figures are provisional.  Source : Oil Companies.</t>
  </si>
  <si>
    <t>2025-26 (P)</t>
  </si>
  <si>
    <t>2024 -25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</si>
</sst>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* #,##0.00_);_(* \(#,##0.00\);_(* &quot;-&quot;??_);_(@_)"/>
    <numFmt numFmtId="165" formatCode="0.000"/>
    <numFmt numFmtId="166" formatCode="_(* #,##0.000_);_(* \(#,##0.000\);_(* &quot;-&quot;???_);_(@_)"/>
    <numFmt numFmtId="167" formatCode="0.0"/>
    <numFmt numFmtId="168" formatCode="0.0000"/>
  </numFmts>
  <fonts count="12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b/>
      <u/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F70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9">
    <xf numFmtId="0" fontId="0" fillId="0" borderId="0" xfId="0"/>
    <xf numFmtId="0" fontId="4" fillId="0" borderId="0" xfId="1"/>
    <xf numFmtId="0" fontId="6" fillId="0" borderId="0" xfId="1" applyFont="1"/>
    <xf numFmtId="0" fontId="5" fillId="0" borderId="0" xfId="1" applyFont="1"/>
    <xf numFmtId="0" fontId="7" fillId="0" borderId="1" xfId="1" applyFont="1" applyBorder="1"/>
    <xf numFmtId="1" fontId="7" fillId="0" borderId="1" xfId="1" applyNumberFormat="1" applyFont="1" applyBorder="1"/>
    <xf numFmtId="1" fontId="4" fillId="0" borderId="0" xfId="1" applyNumberFormat="1"/>
    <xf numFmtId="0" fontId="8" fillId="0" borderId="1" xfId="1" applyFont="1" applyBorder="1"/>
    <xf numFmtId="1" fontId="8" fillId="0" borderId="1" xfId="1" applyNumberFormat="1" applyFont="1" applyBorder="1"/>
    <xf numFmtId="165" fontId="7" fillId="0" borderId="1" xfId="1" applyNumberFormat="1" applyFont="1" applyBorder="1"/>
    <xf numFmtId="0" fontId="8" fillId="0" borderId="2" xfId="1" applyFont="1" applyBorder="1"/>
    <xf numFmtId="1" fontId="8" fillId="0" borderId="2" xfId="1" applyNumberFormat="1" applyFont="1" applyBorder="1"/>
    <xf numFmtId="1" fontId="7" fillId="2" borderId="1" xfId="1" applyNumberFormat="1" applyFont="1" applyFill="1" applyBorder="1"/>
    <xf numFmtId="1" fontId="8" fillId="2" borderId="1" xfId="1" applyNumberFormat="1" applyFont="1" applyFill="1" applyBorder="1"/>
    <xf numFmtId="1" fontId="9" fillId="0" borderId="1" xfId="0" applyNumberFormat="1" applyFont="1" applyBorder="1"/>
    <xf numFmtId="164" fontId="0" fillId="0" borderId="0" xfId="0" applyNumberFormat="1"/>
    <xf numFmtId="0" fontId="1" fillId="3" borderId="1" xfId="1" applyFont="1" applyFill="1" applyBorder="1" applyAlignment="1">
      <alignment vertical="center" wrapText="1"/>
    </xf>
    <xf numFmtId="0" fontId="1" fillId="3" borderId="1" xfId="1" applyFont="1" applyFill="1" applyBorder="1" applyAlignment="1">
      <alignment horizontal="right" vertical="top" wrapText="1"/>
    </xf>
    <xf numFmtId="166" fontId="2" fillId="0" borderId="0" xfId="0" applyNumberFormat="1" applyFont="1"/>
    <xf numFmtId="0" fontId="1" fillId="3" borderId="2" xfId="1" applyFont="1" applyFill="1" applyBorder="1" applyAlignment="1">
      <alignment vertical="center" wrapText="1"/>
    </xf>
    <xf numFmtId="0" fontId="1" fillId="3" borderId="2" xfId="1" applyFont="1" applyFill="1" applyBorder="1" applyAlignment="1">
      <alignment horizontal="right" vertical="top" wrapText="1"/>
    </xf>
    <xf numFmtId="1" fontId="0" fillId="0" borderId="0" xfId="0" applyNumberFormat="1"/>
    <xf numFmtId="1" fontId="3" fillId="0" borderId="1" xfId="1" applyNumberFormat="1" applyFont="1" applyBorder="1"/>
    <xf numFmtId="1" fontId="8" fillId="4" borderId="1" xfId="1" applyNumberFormat="1" applyFont="1" applyFill="1" applyBorder="1"/>
    <xf numFmtId="168" fontId="0" fillId="0" borderId="0" xfId="0" applyNumberFormat="1"/>
    <xf numFmtId="167" fontId="4" fillId="0" borderId="0" xfId="1" applyNumberFormat="1"/>
    <xf numFmtId="1" fontId="10" fillId="0" borderId="0" xfId="0" applyNumberFormat="1" applyFont="1" applyAlignment="1">
      <alignment horizontal="right"/>
    </xf>
    <xf numFmtId="0" fontId="7" fillId="0" borderId="9" xfId="1" applyFont="1" applyBorder="1" applyAlignment="1">
      <alignment horizontal="left"/>
    </xf>
    <xf numFmtId="0" fontId="7" fillId="0" borderId="10" xfId="1" applyFont="1" applyBorder="1" applyAlignment="1">
      <alignment horizontal="left"/>
    </xf>
    <xf numFmtId="0" fontId="7" fillId="0" borderId="11" xfId="1" applyFont="1" applyBorder="1" applyAlignment="1">
      <alignment horizontal="left"/>
    </xf>
    <xf numFmtId="0" fontId="4" fillId="0" borderId="0" xfId="1" applyAlignment="1">
      <alignment horizontal="center"/>
    </xf>
    <xf numFmtId="0" fontId="11" fillId="0" borderId="0" xfId="1" applyFont="1" applyAlignment="1">
      <alignment horizontal="left" vertical="top"/>
    </xf>
    <xf numFmtId="0" fontId="8" fillId="0" borderId="0" xfId="1" applyFont="1" applyAlignment="1">
      <alignment horizontal="right" vertical="top"/>
    </xf>
    <xf numFmtId="0" fontId="1" fillId="5" borderId="3" xfId="1" applyFont="1" applyFill="1" applyBorder="1" applyAlignment="1">
      <alignment horizontal="center" vertical="top"/>
    </xf>
    <xf numFmtId="0" fontId="1" fillId="5" borderId="4" xfId="1" applyFont="1" applyFill="1" applyBorder="1" applyAlignment="1">
      <alignment horizontal="center" vertical="top"/>
    </xf>
    <xf numFmtId="0" fontId="1" fillId="5" borderId="5" xfId="1" applyFont="1" applyFill="1" applyBorder="1" applyAlignment="1">
      <alignment horizontal="center" vertical="top"/>
    </xf>
    <xf numFmtId="0" fontId="8" fillId="0" borderId="6" xfId="1" applyFont="1" applyBorder="1" applyAlignment="1">
      <alignment horizontal="left"/>
    </xf>
    <xf numFmtId="0" fontId="8" fillId="0" borderId="7" xfId="1" applyFont="1" applyBorder="1" applyAlignment="1">
      <alignment horizontal="left"/>
    </xf>
    <xf numFmtId="0" fontId="8" fillId="0" borderId="8" xfId="1" applyFont="1" applyBorder="1" applyAlignment="1">
      <alignment horizontal="left"/>
    </xf>
  </cellXfs>
  <cellStyles count="2">
    <cellStyle name="Normal" xfId="0" builtinId="0"/>
    <cellStyle name="Normal 16" xfId="1" xr:uid="{DFB0B560-0002-40DD-905A-19BAAF4B9C15}"/>
  </cellStyles>
  <dxfs count="0"/>
  <tableStyles count="1" defaultTableStyle="TableStyleMedium2" defaultPivotStyle="PivotStyleLight16">
    <tableStyle name="Invisible" pivot="0" table="0" count="0" xr9:uid="{2D0CD6C9-9EE7-4175-A4A7-4F07F61F34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914400</xdr:colOff>
      <xdr:row>5</xdr:row>
      <xdr:rowOff>19050</xdr:rowOff>
    </xdr:to>
    <xdr:pic>
      <xdr:nvPicPr>
        <xdr:cNvPr id="1339" name="Picture 1">
          <a:extLst>
            <a:ext uri="{FF2B5EF4-FFF2-40B4-BE49-F238E27FC236}">
              <a16:creationId xmlns:a16="http://schemas.microsoft.com/office/drawing/2014/main" id="{4B48D328-2D18-4708-AC8A-53A68D0A9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91440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57150</xdr:colOff>
      <xdr:row>5</xdr:row>
      <xdr:rowOff>57150</xdr:rowOff>
    </xdr:to>
    <xdr:pic>
      <xdr:nvPicPr>
        <xdr:cNvPr id="2052" name="Picture 1">
          <a:extLst>
            <a:ext uri="{FF2B5EF4-FFF2-40B4-BE49-F238E27FC236}">
              <a16:creationId xmlns:a16="http://schemas.microsoft.com/office/drawing/2014/main" id="{923A378F-F379-4864-5408-65A5F91D3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573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pac.gov.in/Documents%20and%20Settings/Owner/My%20Documents/BP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il – Proved reserves"/>
      <sheetName val="Oil - proved reserves history"/>
      <sheetName val="Oil Production – barrels"/>
      <sheetName val="Oil Production – tonnes"/>
      <sheetName val="Oil Consumption – barrels"/>
      <sheetName val="Oil Consumption – tonnes"/>
      <sheetName val="Oil - Regional consumption "/>
      <sheetName val="Oil –  Spot crude prices"/>
      <sheetName val="Oil - crude prices since 1861"/>
      <sheetName val="Oil - Refinery capacities"/>
      <sheetName val="Oil - Refinery throughputs"/>
      <sheetName val="Oil - Regional refining margins"/>
      <sheetName val="Oil - Trade movements"/>
      <sheetName val="Oil - Inter-area movements "/>
      <sheetName val="Oil - Imports and exports"/>
      <sheetName val="Gas – Proved reserves"/>
      <sheetName val="Gas - Proved reserves history "/>
      <sheetName val="Gas Production – bcm"/>
      <sheetName val="Gas Production – bcf"/>
      <sheetName val="Gas Production – mtoe"/>
      <sheetName val="Gas Consumption – bcm"/>
      <sheetName val="Gas Consumption – bcf"/>
      <sheetName val="Gas Consumption – mtoe"/>
      <sheetName val="Gas – Trade movements "/>
      <sheetName val="Gas – Trade movements LNG"/>
      <sheetName val="Gas - Prices "/>
      <sheetName val="Coal - Reserves"/>
      <sheetName val="Coal - Production tonnes"/>
      <sheetName val=" Coal - Production mtoe"/>
      <sheetName val="Coal - Consumption mtoe"/>
      <sheetName val="Coal - Prices"/>
      <sheetName val="Nuclear Energy Consumption TWh"/>
      <sheetName val="Nuclear Energy Consumption mtoe"/>
      <sheetName val="Hydro Consumption TWh"/>
      <sheetName val=" Hydro Consumption - mtoe"/>
      <sheetName val="Primary Energy - Consumption"/>
      <sheetName val="Primary Energy - Cons by fuel"/>
      <sheetName val="Electricity Generation "/>
      <sheetName val="Approximate conversion factors"/>
      <sheetName val="Defin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E36A-F7AD-4CA0-BDBC-3ED56ACF86D6}">
  <sheetPr>
    <pageSetUpPr fitToPage="1"/>
  </sheetPr>
  <dimension ref="A2:Q37"/>
  <sheetViews>
    <sheetView tabSelected="1" zoomScaleNormal="100" workbookViewId="0">
      <pane ySplit="9" topLeftCell="A15" activePane="bottomLeft" state="frozen"/>
      <selection pane="bottomLeft" activeCell="B10" sqref="B10:N31"/>
    </sheetView>
  </sheetViews>
  <sheetFormatPr defaultRowHeight="15" x14ac:dyDescent="0.25"/>
  <cols>
    <col min="1" max="1" width="19" style="1" customWidth="1"/>
    <col min="2" max="2" width="12.140625" style="1" customWidth="1"/>
    <col min="3" max="6" width="10.85546875" style="1" customWidth="1"/>
    <col min="7" max="7" width="11.42578125" style="1" customWidth="1"/>
    <col min="8" max="13" width="10.85546875" style="1" customWidth="1"/>
    <col min="14" max="14" width="18.42578125" style="1" customWidth="1"/>
    <col min="15" max="16384" width="9.140625" style="1"/>
  </cols>
  <sheetData>
    <row r="2" spans="1:17" ht="20.25" x14ac:dyDescent="0.25">
      <c r="A2" s="30"/>
      <c r="B2" s="30"/>
      <c r="C2" s="31" t="s">
        <v>0</v>
      </c>
      <c r="D2" s="31"/>
      <c r="E2" s="31"/>
      <c r="F2" s="31"/>
      <c r="G2" s="31"/>
      <c r="H2" s="31"/>
    </row>
    <row r="3" spans="1:17" ht="22.5" customHeight="1" x14ac:dyDescent="0.25">
      <c r="A3" s="30"/>
      <c r="B3" s="30"/>
    </row>
    <row r="4" spans="1:17" x14ac:dyDescent="0.25">
      <c r="A4" s="30"/>
      <c r="B4" s="30"/>
    </row>
    <row r="5" spans="1:17" x14ac:dyDescent="0.25">
      <c r="A5" s="30"/>
      <c r="B5" s="30"/>
    </row>
    <row r="6" spans="1:17" x14ac:dyDescent="0.25">
      <c r="A6" s="30"/>
      <c r="B6" s="30"/>
    </row>
    <row r="7" spans="1:17" ht="18.75" x14ac:dyDescent="0.3">
      <c r="A7" s="2" t="s">
        <v>39</v>
      </c>
      <c r="B7" s="3"/>
      <c r="C7" s="3"/>
      <c r="D7" s="3"/>
      <c r="E7" s="3"/>
      <c r="F7" s="3"/>
      <c r="G7" s="3"/>
      <c r="H7" s="3"/>
      <c r="I7" s="32" t="s">
        <v>1</v>
      </c>
      <c r="J7" s="32"/>
      <c r="K7" s="32"/>
      <c r="L7" s="32"/>
      <c r="M7" s="32"/>
      <c r="N7" s="32"/>
    </row>
    <row r="8" spans="1:17" ht="18" customHeight="1" x14ac:dyDescent="0.25">
      <c r="A8" s="33" t="s">
        <v>2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5"/>
    </row>
    <row r="9" spans="1:17" ht="18.75" x14ac:dyDescent="0.25">
      <c r="A9" s="16" t="s">
        <v>3</v>
      </c>
      <c r="B9" s="17" t="s">
        <v>4</v>
      </c>
      <c r="C9" s="17" t="s">
        <v>5</v>
      </c>
      <c r="D9" s="17" t="s">
        <v>6</v>
      </c>
      <c r="E9" s="17" t="s">
        <v>7</v>
      </c>
      <c r="F9" s="17" t="s">
        <v>8</v>
      </c>
      <c r="G9" s="17" t="s">
        <v>9</v>
      </c>
      <c r="H9" s="17" t="s">
        <v>10</v>
      </c>
      <c r="I9" s="17" t="s">
        <v>11</v>
      </c>
      <c r="J9" s="17" t="s">
        <v>12</v>
      </c>
      <c r="K9" s="17" t="s">
        <v>13</v>
      </c>
      <c r="L9" s="17" t="s">
        <v>14</v>
      </c>
      <c r="M9" s="17" t="s">
        <v>15</v>
      </c>
      <c r="N9" s="17" t="s">
        <v>16</v>
      </c>
    </row>
    <row r="10" spans="1:17" x14ac:dyDescent="0.25">
      <c r="A10" s="4" t="s">
        <v>17</v>
      </c>
      <c r="B10" s="5">
        <v>1007.8687311360011</v>
      </c>
      <c r="C10" s="5">
        <v>1071.9701115360003</v>
      </c>
      <c r="D10" s="5">
        <v>1056.864442411</v>
      </c>
      <c r="E10" s="5">
        <v>1128.7222950870002</v>
      </c>
      <c r="F10" s="5">
        <v>1062.9107054169999</v>
      </c>
      <c r="G10" s="5">
        <v>951.27115058700008</v>
      </c>
      <c r="H10" s="5">
        <v>1072.6033627000011</v>
      </c>
      <c r="I10" s="5">
        <v>1035.6428055000001</v>
      </c>
      <c r="J10" s="5">
        <v>1115.4940986941999</v>
      </c>
      <c r="K10" s="5">
        <v>1158.4687207999998</v>
      </c>
      <c r="L10" s="5">
        <v>1061.6742197999997</v>
      </c>
      <c r="M10" s="5">
        <v>1387.4053820006002</v>
      </c>
      <c r="N10" s="12">
        <v>13110.896025668801</v>
      </c>
      <c r="Q10" s="25"/>
    </row>
    <row r="11" spans="1:17" x14ac:dyDescent="0.25">
      <c r="A11" s="4" t="s">
        <v>18</v>
      </c>
      <c r="B11" s="5">
        <v>1457.2689221190003</v>
      </c>
      <c r="C11" s="5">
        <v>1655.4409065729999</v>
      </c>
      <c r="D11" s="5">
        <v>1624.2671211739998</v>
      </c>
      <c r="E11" s="5">
        <v>1699.0199204399999</v>
      </c>
      <c r="F11" s="5">
        <v>1448.9364678900001</v>
      </c>
      <c r="G11" s="5">
        <v>1349.5158897389997</v>
      </c>
      <c r="H11" s="5">
        <v>1541.3889065380001</v>
      </c>
      <c r="I11" s="5">
        <v>1477.8833289250001</v>
      </c>
      <c r="J11" s="5">
        <v>1683.8210202270002</v>
      </c>
      <c r="K11" s="5">
        <v>1593.6329295</v>
      </c>
      <c r="L11" s="5">
        <v>1412.0154333679995</v>
      </c>
      <c r="M11" s="5">
        <v>1410.996136</v>
      </c>
      <c r="N11" s="12">
        <v>18354.186982493</v>
      </c>
      <c r="Q11" s="25"/>
    </row>
    <row r="12" spans="1:17" x14ac:dyDescent="0.25">
      <c r="A12" s="4" t="s">
        <v>19</v>
      </c>
      <c r="B12" s="5">
        <v>3305.3561836596591</v>
      </c>
      <c r="C12" s="5">
        <v>3750.33417716649</v>
      </c>
      <c r="D12" s="14">
        <v>3564.648063883059</v>
      </c>
      <c r="E12" s="5">
        <v>3700.3878124865696</v>
      </c>
      <c r="F12" s="5">
        <v>3865.7701298456309</v>
      </c>
      <c r="G12" s="5">
        <v>3523.6761891233623</v>
      </c>
      <c r="H12" s="5">
        <v>3827.9674628466601</v>
      </c>
      <c r="I12" s="5">
        <v>3756.1803732646849</v>
      </c>
      <c r="J12" s="5">
        <v>3977.4711284196369</v>
      </c>
      <c r="K12" s="5">
        <v>3608.5307007497522</v>
      </c>
      <c r="L12" s="5">
        <v>3407.8028599997629</v>
      </c>
      <c r="M12" s="5">
        <v>3930.6964774952576</v>
      </c>
      <c r="N12" s="12">
        <v>44218.821558940523</v>
      </c>
      <c r="Q12" s="25"/>
    </row>
    <row r="13" spans="1:17" x14ac:dyDescent="0.25">
      <c r="A13" s="4" t="s">
        <v>20</v>
      </c>
      <c r="B13" s="5">
        <v>613.54704593299994</v>
      </c>
      <c r="C13" s="5">
        <v>411.19027085700003</v>
      </c>
      <c r="D13" s="14">
        <v>398.45960760099939</v>
      </c>
      <c r="E13" s="5">
        <v>426.25745861399946</v>
      </c>
      <c r="F13" s="5">
        <v>452.31358394700027</v>
      </c>
      <c r="G13" s="5">
        <v>505.89229594699975</v>
      </c>
      <c r="H13" s="5">
        <v>463.99877901899987</v>
      </c>
      <c r="I13" s="5">
        <v>471.74021330199997</v>
      </c>
      <c r="J13" s="5">
        <v>480.26170910300078</v>
      </c>
      <c r="K13" s="5">
        <v>563.40941016500005</v>
      </c>
      <c r="L13" s="5">
        <v>437.57509488199992</v>
      </c>
      <c r="M13" s="5">
        <v>333.61656061800005</v>
      </c>
      <c r="N13" s="12">
        <v>5558.2620299879991</v>
      </c>
      <c r="Q13" s="25"/>
    </row>
    <row r="14" spans="1:17" s="6" customFormat="1" x14ac:dyDescent="0.25">
      <c r="A14" s="5" t="s">
        <v>21</v>
      </c>
      <c r="B14" s="5">
        <v>1440.6692877109999</v>
      </c>
      <c r="C14" s="5">
        <v>1515.4639291820006</v>
      </c>
      <c r="D14" s="5">
        <v>1366.9618982899999</v>
      </c>
      <c r="E14" s="5">
        <v>1410.0125105269999</v>
      </c>
      <c r="F14" s="5">
        <v>1371.0223827730001</v>
      </c>
      <c r="G14" s="5">
        <v>1241.7169235210001</v>
      </c>
      <c r="H14" s="5">
        <v>1516.0327465580001</v>
      </c>
      <c r="I14" s="5">
        <v>1356.4086774639998</v>
      </c>
      <c r="J14" s="5">
        <v>1433.0972754650002</v>
      </c>
      <c r="K14" s="5">
        <v>1343.2176750779997</v>
      </c>
      <c r="L14" s="5">
        <v>1183.964192225</v>
      </c>
      <c r="M14" s="5">
        <v>1254.2330529999997</v>
      </c>
      <c r="N14" s="12">
        <v>16432.800551794</v>
      </c>
      <c r="Q14" s="25"/>
    </row>
    <row r="15" spans="1:17" x14ac:dyDescent="0.25">
      <c r="A15" s="4" t="s">
        <v>22</v>
      </c>
      <c r="B15" s="5">
        <v>92.287573152000007</v>
      </c>
      <c r="C15" s="5">
        <v>96.235192972999982</v>
      </c>
      <c r="D15" s="5">
        <v>76.554645266999984</v>
      </c>
      <c r="E15" s="5">
        <v>95.600808300999986</v>
      </c>
      <c r="F15" s="5">
        <v>120.58965658000002</v>
      </c>
      <c r="G15" s="5">
        <v>77.395096206999995</v>
      </c>
      <c r="H15" s="5">
        <v>83.916599000000005</v>
      </c>
      <c r="I15" s="5">
        <v>78.983564907000002</v>
      </c>
      <c r="J15" s="5">
        <v>96.141180663</v>
      </c>
      <c r="K15" s="5">
        <v>56.805549241999998</v>
      </c>
      <c r="L15" s="5">
        <v>85.716475513000006</v>
      </c>
      <c r="M15" s="5">
        <v>69.689964586000002</v>
      </c>
      <c r="N15" s="12">
        <v>1029.916306391</v>
      </c>
      <c r="Q15" s="25"/>
    </row>
    <row r="16" spans="1:17" x14ac:dyDescent="0.25">
      <c r="A16" s="4" t="s">
        <v>23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/>
      <c r="H16" s="5"/>
      <c r="I16" s="5">
        <v>0</v>
      </c>
      <c r="J16" s="5">
        <v>0</v>
      </c>
      <c r="K16" s="5">
        <v>0</v>
      </c>
      <c r="L16" s="5">
        <v>0</v>
      </c>
      <c r="M16" s="5"/>
      <c r="N16" s="12">
        <v>0</v>
      </c>
      <c r="Q16" s="25"/>
    </row>
    <row r="17" spans="1:17" x14ac:dyDescent="0.25">
      <c r="A17" s="4" t="s">
        <v>24</v>
      </c>
      <c r="B17" s="5">
        <v>7786.0590774083239</v>
      </c>
      <c r="C17" s="5">
        <v>8205.2605808762055</v>
      </c>
      <c r="D17" s="5">
        <v>7950.5172351673991</v>
      </c>
      <c r="E17" s="5">
        <v>8290.7781802922273</v>
      </c>
      <c r="F17" s="5">
        <v>7337.980707800496</v>
      </c>
      <c r="G17" s="5">
        <v>6954.9577982134269</v>
      </c>
      <c r="H17" s="5">
        <v>7844.3286239133249</v>
      </c>
      <c r="I17" s="5">
        <v>7526.2756673145659</v>
      </c>
      <c r="J17" s="5">
        <v>8387.6115831785992</v>
      </c>
      <c r="K17" s="5">
        <v>8588.9749712517805</v>
      </c>
      <c r="L17" s="5">
        <v>7996.2371904784577</v>
      </c>
      <c r="M17" s="5">
        <v>8904.4770597768093</v>
      </c>
      <c r="N17" s="12">
        <v>95773.458675671602</v>
      </c>
      <c r="Q17" s="25"/>
    </row>
    <row r="18" spans="1:17" x14ac:dyDescent="0.25">
      <c r="A18" s="4" t="s">
        <v>25</v>
      </c>
      <c r="B18" s="5">
        <v>1677.3958747120002</v>
      </c>
      <c r="C18" s="5">
        <v>2019.020963355</v>
      </c>
      <c r="D18" s="5">
        <v>2043.9195590560003</v>
      </c>
      <c r="E18" s="5">
        <v>2202.0028395986178</v>
      </c>
      <c r="F18" s="5">
        <v>2408.6923324559998</v>
      </c>
      <c r="G18" s="5">
        <v>2406.6013885019993</v>
      </c>
      <c r="H18" s="5">
        <v>2409.8809179999998</v>
      </c>
      <c r="I18" s="5">
        <v>2166.9142179999999</v>
      </c>
      <c r="J18" s="5">
        <v>2098.1446174590001</v>
      </c>
      <c r="K18" s="5">
        <v>2201.8229027900002</v>
      </c>
      <c r="L18" s="5">
        <v>1558.548320093</v>
      </c>
      <c r="M18" s="5">
        <v>1870.8713497569995</v>
      </c>
      <c r="N18" s="12">
        <v>25063.815283778615</v>
      </c>
      <c r="Q18" s="25"/>
    </row>
    <row r="19" spans="1:17" x14ac:dyDescent="0.25">
      <c r="A19" s="4" t="s">
        <v>26</v>
      </c>
      <c r="B19" s="5">
        <v>62.330316459000002</v>
      </c>
      <c r="C19" s="5">
        <v>66.140233426999998</v>
      </c>
      <c r="D19" s="5">
        <v>57.201376456000006</v>
      </c>
      <c r="E19" s="5">
        <v>68.969455916000001</v>
      </c>
      <c r="F19" s="5">
        <v>61.034346494000005</v>
      </c>
      <c r="G19" s="5">
        <v>67.975754233999993</v>
      </c>
      <c r="H19" s="5">
        <v>54.277999999999999</v>
      </c>
      <c r="I19" s="5">
        <v>58.745000000000005</v>
      </c>
      <c r="J19" s="5">
        <v>40.681766834000001</v>
      </c>
      <c r="K19" s="5">
        <v>45.080000000000005</v>
      </c>
      <c r="L19" s="5">
        <v>55.575000000000003</v>
      </c>
      <c r="M19" s="5">
        <v>52.585208525999995</v>
      </c>
      <c r="N19" s="12">
        <v>690.59645834600008</v>
      </c>
      <c r="Q19" s="25"/>
    </row>
    <row r="20" spans="1:17" x14ac:dyDescent="0.25">
      <c r="A20" s="4" t="s">
        <v>27</v>
      </c>
      <c r="B20" s="5">
        <v>103.60754077999999</v>
      </c>
      <c r="C20" s="5">
        <v>104.05609706400001</v>
      </c>
      <c r="D20" s="5">
        <v>115.29430382500001</v>
      </c>
      <c r="E20" s="5">
        <v>114.27149460199998</v>
      </c>
      <c r="F20" s="5">
        <v>125.25242243300001</v>
      </c>
      <c r="G20" s="5">
        <v>123.60922001</v>
      </c>
      <c r="H20" s="5">
        <v>96.861429999999999</v>
      </c>
      <c r="I20" s="5">
        <v>105.910933</v>
      </c>
      <c r="J20" s="5">
        <v>138.18473070499999</v>
      </c>
      <c r="K20" s="5">
        <v>141.39674699999998</v>
      </c>
      <c r="L20" s="5">
        <v>134.34552599999998</v>
      </c>
      <c r="M20" s="5">
        <v>153.17294900100001</v>
      </c>
      <c r="N20" s="12">
        <v>1455.96339442</v>
      </c>
      <c r="Q20" s="25"/>
    </row>
    <row r="21" spans="1:17" x14ac:dyDescent="0.25">
      <c r="A21" s="4" t="s">
        <v>28</v>
      </c>
      <c r="B21" s="5">
        <v>654.35354034499994</v>
      </c>
      <c r="C21" s="5">
        <v>813.09717840999997</v>
      </c>
      <c r="D21" s="5">
        <v>787.818881068</v>
      </c>
      <c r="E21" s="5">
        <v>945.48486734200003</v>
      </c>
      <c r="F21" s="5">
        <v>939.80616998500011</v>
      </c>
      <c r="G21" s="5">
        <v>777.63518048300011</v>
      </c>
      <c r="H21" s="5">
        <v>771.67054199999995</v>
      </c>
      <c r="I21" s="5">
        <v>792.18112199999996</v>
      </c>
      <c r="J21" s="5">
        <v>870.4969063609999</v>
      </c>
      <c r="K21" s="5">
        <v>788.46750499999996</v>
      </c>
      <c r="L21" s="5">
        <v>799.00507099999993</v>
      </c>
      <c r="M21" s="5">
        <v>865.33023559200001</v>
      </c>
      <c r="N21" s="12">
        <v>9805.347199586</v>
      </c>
      <c r="Q21" s="25"/>
    </row>
    <row r="22" spans="1:17" x14ac:dyDescent="0.25">
      <c r="A22" s="4" t="s">
        <v>29</v>
      </c>
      <c r="B22" s="5">
        <v>46.214981999999999</v>
      </c>
      <c r="C22" s="5">
        <v>45.100645930999995</v>
      </c>
      <c r="D22" s="5">
        <v>32.319441999999995</v>
      </c>
      <c r="E22" s="5">
        <v>21.601167350999997</v>
      </c>
      <c r="F22" s="5">
        <v>46.268496444</v>
      </c>
      <c r="G22" s="5">
        <v>52.151372884999994</v>
      </c>
      <c r="H22" s="5">
        <v>54.432347</v>
      </c>
      <c r="I22" s="5">
        <v>31.053115000000002</v>
      </c>
      <c r="J22" s="5">
        <v>53.280450504999997</v>
      </c>
      <c r="K22" s="5">
        <v>46.556562999999997</v>
      </c>
      <c r="L22" s="5">
        <v>56.026644999999995</v>
      </c>
      <c r="M22" s="5">
        <v>43.148906132999997</v>
      </c>
      <c r="N22" s="12">
        <v>528.15413324899987</v>
      </c>
      <c r="Q22" s="25"/>
    </row>
    <row r="23" spans="1:17" x14ac:dyDescent="0.25">
      <c r="A23" s="4" t="s">
        <v>30</v>
      </c>
      <c r="B23" s="5">
        <v>524.50177330300005</v>
      </c>
      <c r="C23" s="5">
        <v>522.71678739299989</v>
      </c>
      <c r="D23" s="5">
        <v>412.92799121199999</v>
      </c>
      <c r="E23" s="5">
        <v>266.12362050900003</v>
      </c>
      <c r="F23" s="5">
        <v>215.83206785299998</v>
      </c>
      <c r="G23" s="5">
        <v>260.71779720300003</v>
      </c>
      <c r="H23" s="5">
        <v>358.06026800000001</v>
      </c>
      <c r="I23" s="5">
        <v>493.91090500000001</v>
      </c>
      <c r="J23" s="5">
        <v>566.39321175900011</v>
      </c>
      <c r="K23" s="5">
        <v>546.686103</v>
      </c>
      <c r="L23" s="5">
        <v>587.06838400000015</v>
      </c>
      <c r="M23" s="5">
        <v>605.34400299999993</v>
      </c>
      <c r="N23" s="12">
        <v>5360.2829122320009</v>
      </c>
      <c r="Q23" s="25"/>
    </row>
    <row r="24" spans="1:17" x14ac:dyDescent="0.25">
      <c r="A24" s="4" t="s">
        <v>31</v>
      </c>
      <c r="B24" s="5">
        <v>1124.26310506296</v>
      </c>
      <c r="C24" s="5">
        <v>1186.8444274465544</v>
      </c>
      <c r="D24" s="5">
        <v>1226.6966336872999</v>
      </c>
      <c r="E24" s="5">
        <v>1234.7933277123045</v>
      </c>
      <c r="F24" s="5">
        <v>1181.7174129480998</v>
      </c>
      <c r="G24" s="5">
        <v>1102.8502345371003</v>
      </c>
      <c r="H24" s="5">
        <v>1309.7211390997604</v>
      </c>
      <c r="I24" s="5">
        <v>1267.1674940738999</v>
      </c>
      <c r="J24" s="5">
        <v>1298.3945831889998</v>
      </c>
      <c r="K24" s="5">
        <v>1334.2935244714999</v>
      </c>
      <c r="L24" s="5">
        <v>1221.3880449660001</v>
      </c>
      <c r="M24" s="5">
        <v>1282.7392019999998</v>
      </c>
      <c r="N24" s="12">
        <v>14770.869129194478</v>
      </c>
      <c r="Q24" s="25"/>
    </row>
    <row r="25" spans="1:17" x14ac:dyDescent="0.25">
      <c r="A25" s="4" t="s">
        <v>32</v>
      </c>
      <c r="B25" s="5">
        <v>2488.9313178647917</v>
      </c>
      <c r="C25" s="5">
        <v>2802.8047727451994</v>
      </c>
      <c r="D25" s="5">
        <v>2759.8173090272999</v>
      </c>
      <c r="E25" s="5">
        <v>2457.8381093009998</v>
      </c>
      <c r="F25" s="5">
        <v>2840.467002121</v>
      </c>
      <c r="G25" s="5">
        <v>2587.0349914892004</v>
      </c>
      <c r="H25" s="5">
        <v>2786.1319401063929</v>
      </c>
      <c r="I25" s="5">
        <v>2715.2182522510006</v>
      </c>
      <c r="J25" s="5">
        <v>2882.2949287459996</v>
      </c>
      <c r="K25" s="5">
        <v>2963.2397330739987</v>
      </c>
      <c r="L25" s="5">
        <v>2473.4952127180004</v>
      </c>
      <c r="M25" s="5">
        <v>2966.5086528780012</v>
      </c>
      <c r="N25" s="12">
        <v>32723.78222232189</v>
      </c>
      <c r="Q25" s="25"/>
    </row>
    <row r="26" spans="1:17" x14ac:dyDescent="0.25">
      <c r="A26" s="7" t="s">
        <v>33</v>
      </c>
      <c r="B26" s="8">
        <v>22384.655271645741</v>
      </c>
      <c r="C26" s="8">
        <v>24265.676274935453</v>
      </c>
      <c r="D26" s="8">
        <v>23474.268510125061</v>
      </c>
      <c r="E26" s="8">
        <v>24061.863868079712</v>
      </c>
      <c r="F26" s="8">
        <v>23478.593884987229</v>
      </c>
      <c r="G26" s="8">
        <v>21983.001282681093</v>
      </c>
      <c r="H26" s="8">
        <v>24191.273064781144</v>
      </c>
      <c r="I26" s="8">
        <v>23334.215670002144</v>
      </c>
      <c r="J26" s="8">
        <v>25121.769191308438</v>
      </c>
      <c r="K26" s="8">
        <v>24982.468035122027</v>
      </c>
      <c r="L26" s="8">
        <v>22470.437670043222</v>
      </c>
      <c r="M26" s="8">
        <v>25130.815140363666</v>
      </c>
      <c r="N26" s="13">
        <v>284879</v>
      </c>
      <c r="P26" s="18"/>
    </row>
    <row r="27" spans="1:17" x14ac:dyDescent="0.25">
      <c r="A27" s="4" t="s">
        <v>34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12"/>
    </row>
    <row r="28" spans="1:17" x14ac:dyDescent="0.25">
      <c r="A28" s="4" t="s">
        <v>35</v>
      </c>
      <c r="B28" s="8">
        <v>22118.840415645733</v>
      </c>
      <c r="C28" s="8">
        <v>23982.661605935449</v>
      </c>
      <c r="D28" s="8">
        <v>23200.364979125057</v>
      </c>
      <c r="E28" s="8">
        <v>23774.561175079714</v>
      </c>
      <c r="F28" s="8">
        <v>23194.287139987231</v>
      </c>
      <c r="G28" s="8">
        <v>21706.721216681093</v>
      </c>
      <c r="H28" s="8">
        <v>23905.282687781142</v>
      </c>
      <c r="I28" s="8">
        <v>23044.169097002155</v>
      </c>
      <c r="J28" s="8">
        <v>24826.662189308441</v>
      </c>
      <c r="K28" s="8">
        <v>24682.99686412204</v>
      </c>
      <c r="L28" s="8">
        <v>22201.717435043221</v>
      </c>
      <c r="M28" s="8">
        <v>24857.489510363666</v>
      </c>
      <c r="N28" s="13">
        <v>281495.75431607489</v>
      </c>
    </row>
    <row r="29" spans="1:17" x14ac:dyDescent="0.25">
      <c r="A29" s="4"/>
      <c r="B29" s="5"/>
      <c r="C29" s="5"/>
      <c r="D29" s="5"/>
      <c r="E29" s="9"/>
      <c r="F29" s="5"/>
      <c r="G29" s="5"/>
      <c r="H29" s="5"/>
      <c r="I29" s="5"/>
      <c r="J29" s="5"/>
      <c r="K29" s="5"/>
      <c r="L29" s="5"/>
      <c r="M29" s="5"/>
      <c r="N29" s="12"/>
    </row>
    <row r="30" spans="1:17" x14ac:dyDescent="0.25">
      <c r="A30" s="4" t="s">
        <v>36</v>
      </c>
      <c r="B30" s="8">
        <v>265.81485600000002</v>
      </c>
      <c r="C30" s="8">
        <v>283.01466899999997</v>
      </c>
      <c r="D30" s="8">
        <v>273.90353099999999</v>
      </c>
      <c r="E30" s="8">
        <v>287.30269299999998</v>
      </c>
      <c r="F30" s="8">
        <v>284.30674499999998</v>
      </c>
      <c r="G30" s="8">
        <v>276.28006600000003</v>
      </c>
      <c r="H30" s="8">
        <v>285.99037700000002</v>
      </c>
      <c r="I30" s="8">
        <v>290.04657300000002</v>
      </c>
      <c r="J30" s="8">
        <v>295.10700199999997</v>
      </c>
      <c r="K30" s="8">
        <v>299.47117099999997</v>
      </c>
      <c r="L30" s="8">
        <v>268.720235</v>
      </c>
      <c r="M30" s="8">
        <v>273.32563000000005</v>
      </c>
      <c r="N30" s="13">
        <v>3383.2835479999999</v>
      </c>
    </row>
    <row r="31" spans="1:17" x14ac:dyDescent="0.25">
      <c r="A31" s="10"/>
      <c r="B31" s="11">
        <v>22384.655271645734</v>
      </c>
      <c r="C31" s="11">
        <v>24265.676274935453</v>
      </c>
      <c r="D31" s="11">
        <v>23474.268510125057</v>
      </c>
      <c r="E31" s="11">
        <v>24061.863868079712</v>
      </c>
      <c r="F31" s="11">
        <v>23478.593884987233</v>
      </c>
      <c r="G31" s="11">
        <v>21983.001282681093</v>
      </c>
      <c r="H31" s="11">
        <v>24191.273064781144</v>
      </c>
      <c r="I31" s="11">
        <v>23334.215670002155</v>
      </c>
      <c r="J31" s="11">
        <v>25121.769191308442</v>
      </c>
      <c r="K31" s="11">
        <v>24982.468035122038</v>
      </c>
      <c r="L31" s="11">
        <v>22470.437670043222</v>
      </c>
      <c r="M31" s="11">
        <v>25130.815140363666</v>
      </c>
      <c r="N31" s="13">
        <v>284879.03786407493</v>
      </c>
    </row>
    <row r="32" spans="1:17" x14ac:dyDescent="0.25">
      <c r="A32" s="36" t="s">
        <v>37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8"/>
    </row>
    <row r="33" spans="1:14" x14ac:dyDescent="0.25">
      <c r="A33" s="27" t="s">
        <v>38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9"/>
    </row>
    <row r="35" spans="1:14" x14ac:dyDescent="0.25">
      <c r="B35" s="6"/>
      <c r="C35" s="6"/>
      <c r="D35" s="6"/>
      <c r="E35" s="21"/>
      <c r="F35" s="6"/>
      <c r="G35" s="26"/>
      <c r="H35" s="6"/>
      <c r="I35" s="6"/>
      <c r="J35" s="6"/>
      <c r="K35" s="6"/>
      <c r="L35" s="6"/>
    </row>
    <row r="36" spans="1:14" x14ac:dyDescent="0.25">
      <c r="I36" s="15"/>
      <c r="J36" s="15"/>
      <c r="N36" s="15"/>
    </row>
    <row r="37" spans="1:14" x14ac:dyDescent="0.25">
      <c r="B37" s="6"/>
      <c r="C37" s="6"/>
      <c r="D37" s="6"/>
      <c r="E37" s="6"/>
      <c r="F37" s="6"/>
      <c r="G37" s="6"/>
    </row>
  </sheetData>
  <sheetProtection selectLockedCells="1" selectUnlockedCells="1"/>
  <mergeCells count="6">
    <mergeCell ref="A33:N33"/>
    <mergeCell ref="A2:B6"/>
    <mergeCell ref="C2:H2"/>
    <mergeCell ref="I7:N7"/>
    <mergeCell ref="A8:N8"/>
    <mergeCell ref="A32:N32"/>
  </mergeCells>
  <printOptions horizontalCentered="1"/>
  <pageMargins left="0" right="0" top="0.5" bottom="0.2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8743-62DA-4993-9C3A-66F84F9A3C2D}">
  <dimension ref="A1:U43"/>
  <sheetViews>
    <sheetView topLeftCell="A2" workbookViewId="0">
      <selection activeCell="R14" sqref="R14"/>
    </sheetView>
  </sheetViews>
  <sheetFormatPr defaultRowHeight="15" x14ac:dyDescent="0.25"/>
  <cols>
    <col min="1" max="1" width="21" customWidth="1"/>
    <col min="2" max="2" width="9.5703125" customWidth="1"/>
    <col min="3" max="3" width="10.140625" customWidth="1"/>
    <col min="4" max="4" width="10.7109375" customWidth="1"/>
    <col min="5" max="5" width="11" customWidth="1"/>
    <col min="6" max="6" width="10.42578125" customWidth="1"/>
    <col min="7" max="7" width="9.5703125" customWidth="1"/>
    <col min="8" max="8" width="10" customWidth="1"/>
    <col min="9" max="9" width="11" customWidth="1"/>
    <col min="10" max="10" width="10.28515625" customWidth="1"/>
    <col min="11" max="11" width="10.85546875" customWidth="1"/>
    <col min="12" max="12" width="10.140625" customWidth="1"/>
    <col min="13" max="13" width="10.85546875" customWidth="1"/>
    <col min="14" max="14" width="14.5703125" customWidth="1"/>
    <col min="17" max="17" width="12.28515625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1" ht="20.25" x14ac:dyDescent="0.25">
      <c r="A2" s="30"/>
      <c r="B2" s="30"/>
      <c r="C2" s="31" t="s">
        <v>0</v>
      </c>
      <c r="D2" s="31"/>
      <c r="E2" s="31"/>
      <c r="F2" s="31"/>
      <c r="G2" s="31"/>
      <c r="H2" s="31"/>
      <c r="I2" s="1"/>
      <c r="J2" s="1"/>
      <c r="K2" s="1"/>
      <c r="L2" s="1"/>
      <c r="M2" s="1"/>
      <c r="N2" s="1"/>
    </row>
    <row r="3" spans="1:21" x14ac:dyDescent="0.25">
      <c r="A3" s="30"/>
      <c r="B3" s="30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21" x14ac:dyDescent="0.25">
      <c r="A4" s="30"/>
      <c r="B4" s="30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21" x14ac:dyDescent="0.25">
      <c r="A5" s="30"/>
      <c r="B5" s="30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21" x14ac:dyDescent="0.25">
      <c r="A6" s="30"/>
      <c r="B6" s="3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21" ht="18.75" x14ac:dyDescent="0.3">
      <c r="A7" s="2" t="s">
        <v>40</v>
      </c>
      <c r="B7" s="3"/>
      <c r="C7" s="3"/>
      <c r="D7" s="3"/>
      <c r="E7" s="3"/>
      <c r="F7" s="3"/>
      <c r="G7" s="3"/>
      <c r="H7" s="3"/>
      <c r="I7" s="32" t="s">
        <v>1</v>
      </c>
      <c r="J7" s="32"/>
      <c r="K7" s="32"/>
      <c r="L7" s="32"/>
      <c r="M7" s="32"/>
      <c r="N7" s="32"/>
    </row>
    <row r="8" spans="1:21" ht="18.75" x14ac:dyDescent="0.25">
      <c r="A8" s="33" t="s">
        <v>2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5"/>
    </row>
    <row r="9" spans="1:21" ht="18.75" x14ac:dyDescent="0.25">
      <c r="A9" s="19" t="s">
        <v>3</v>
      </c>
      <c r="B9" s="20" t="s">
        <v>4</v>
      </c>
      <c r="C9" s="20" t="s">
        <v>5</v>
      </c>
      <c r="D9" s="20" t="s">
        <v>6</v>
      </c>
      <c r="E9" s="20" t="s">
        <v>7</v>
      </c>
      <c r="F9" s="20" t="s">
        <v>8</v>
      </c>
      <c r="G9" s="20" t="s">
        <v>9</v>
      </c>
      <c r="H9" s="20" t="s">
        <v>10</v>
      </c>
      <c r="I9" s="20" t="s">
        <v>11</v>
      </c>
      <c r="J9" s="20" t="s">
        <v>12</v>
      </c>
      <c r="K9" s="20" t="s">
        <v>13</v>
      </c>
      <c r="L9" s="20" t="s">
        <v>14</v>
      </c>
      <c r="M9" s="20" t="s">
        <v>15</v>
      </c>
      <c r="N9" s="20" t="s">
        <v>16</v>
      </c>
    </row>
    <row r="10" spans="1:21" x14ac:dyDescent="0.25">
      <c r="A10" s="4" t="s">
        <v>17</v>
      </c>
      <c r="B10" s="5">
        <v>1037.6243877350012</v>
      </c>
      <c r="C10" s="5">
        <v>1074.2588050720003</v>
      </c>
      <c r="D10" s="5">
        <v>1077.8883045420005</v>
      </c>
      <c r="E10" s="5">
        <v>1096.8638641079997</v>
      </c>
      <c r="F10" s="5">
        <v>1047.0928763059999</v>
      </c>
      <c r="G10" s="5">
        <v>1002.2540500709999</v>
      </c>
      <c r="H10" s="5">
        <v>1039.5031271199998</v>
      </c>
      <c r="I10" s="5">
        <v>1025.4387110020002</v>
      </c>
      <c r="J10" s="5">
        <v>1123.2828967809999</v>
      </c>
      <c r="K10" s="5">
        <v>1183.2982468839996</v>
      </c>
      <c r="L10" s="5">
        <v>1008.6677434070002</v>
      </c>
      <c r="M10" s="5">
        <v>1071.6291472920002</v>
      </c>
      <c r="N10" s="5">
        <f>SUM(B10:M10)</f>
        <v>12787.802160320003</v>
      </c>
      <c r="R10" s="21"/>
      <c r="U10" s="21"/>
    </row>
    <row r="11" spans="1:21" x14ac:dyDescent="0.25">
      <c r="A11" s="4" t="s">
        <v>18</v>
      </c>
      <c r="B11" s="5">
        <v>1535.2139723219996</v>
      </c>
      <c r="C11" s="5">
        <v>1565.033853463</v>
      </c>
      <c r="D11" s="5">
        <v>1458.2247429659999</v>
      </c>
      <c r="E11" s="5">
        <v>1738.5930818259997</v>
      </c>
      <c r="F11" s="5">
        <v>1458.3933711309999</v>
      </c>
      <c r="G11" s="5">
        <v>1442.9305078429998</v>
      </c>
      <c r="H11" s="5">
        <v>1505.6000689359998</v>
      </c>
      <c r="I11" s="5">
        <v>1408.3650145669999</v>
      </c>
      <c r="J11" s="5">
        <v>1525.8866858169999</v>
      </c>
      <c r="K11" s="5">
        <v>1527.0071459830001</v>
      </c>
      <c r="L11" s="5">
        <v>1284.1296559899999</v>
      </c>
      <c r="M11" s="5">
        <v>1475.029272812</v>
      </c>
      <c r="N11" s="22">
        <f t="shared" ref="N11:N24" si="0">SUM(B11:M11)</f>
        <v>17924.407373655999</v>
      </c>
      <c r="R11" s="21"/>
      <c r="U11" s="21"/>
    </row>
    <row r="12" spans="1:21" x14ac:dyDescent="0.25">
      <c r="A12" s="4" t="s">
        <v>19</v>
      </c>
      <c r="B12" s="5">
        <v>3165.9554818395422</v>
      </c>
      <c r="C12" s="5">
        <v>3595.635526848971</v>
      </c>
      <c r="D12" s="5">
        <v>3353.095356809979</v>
      </c>
      <c r="E12" s="5">
        <v>3303.0290601445618</v>
      </c>
      <c r="F12" s="5">
        <v>3459.9882082697604</v>
      </c>
      <c r="G12" s="5">
        <v>3319.8634667724432</v>
      </c>
      <c r="H12" s="5">
        <v>3283.558268693766</v>
      </c>
      <c r="I12" s="5">
        <v>3578.840184195155</v>
      </c>
      <c r="J12" s="5">
        <v>3814.5156556726301</v>
      </c>
      <c r="K12" s="5">
        <v>3775.9998170888302</v>
      </c>
      <c r="L12" s="5">
        <v>3631.2331463429196</v>
      </c>
      <c r="M12" s="5">
        <v>3897.2578383950945</v>
      </c>
      <c r="N12" s="5">
        <f t="shared" si="0"/>
        <v>42178.97201107366</v>
      </c>
      <c r="R12" s="21"/>
      <c r="U12" s="21"/>
    </row>
    <row r="13" spans="1:21" x14ac:dyDescent="0.25">
      <c r="A13" s="4" t="s">
        <v>20</v>
      </c>
      <c r="B13" s="5">
        <v>491.89336905699929</v>
      </c>
      <c r="C13" s="5">
        <v>531.32320846299967</v>
      </c>
      <c r="D13" s="5">
        <v>495.31370776899996</v>
      </c>
      <c r="E13" s="5">
        <v>513.16520860800028</v>
      </c>
      <c r="F13" s="5">
        <v>525.12249367299955</v>
      </c>
      <c r="G13" s="5">
        <v>534.53719938299969</v>
      </c>
      <c r="H13" s="5">
        <v>580.94975491500009</v>
      </c>
      <c r="I13" s="5">
        <v>408.78963050599958</v>
      </c>
      <c r="J13" s="5">
        <v>563.17246009500013</v>
      </c>
      <c r="K13" s="5">
        <v>471.59354500800077</v>
      </c>
      <c r="L13" s="5">
        <v>433.60498293399894</v>
      </c>
      <c r="M13" s="5">
        <v>536.15136532200017</v>
      </c>
      <c r="N13" s="5">
        <f t="shared" si="0"/>
        <v>6085.6169257329975</v>
      </c>
      <c r="R13" s="21"/>
      <c r="U13" s="21"/>
    </row>
    <row r="14" spans="1:21" x14ac:dyDescent="0.25">
      <c r="A14" s="5" t="s">
        <v>21</v>
      </c>
      <c r="B14" s="5">
        <v>1456.0190370089999</v>
      </c>
      <c r="C14" s="5">
        <v>1527.7661843750002</v>
      </c>
      <c r="D14" s="5">
        <v>1407.7295214660001</v>
      </c>
      <c r="E14" s="5">
        <v>1474.8528053199996</v>
      </c>
      <c r="F14" s="5">
        <v>1419.3237078730006</v>
      </c>
      <c r="G14" s="5">
        <v>1518.0190262777</v>
      </c>
      <c r="H14" s="5">
        <v>1518.1270993292999</v>
      </c>
      <c r="I14" s="5">
        <v>1555.3619276920001</v>
      </c>
      <c r="J14" s="5">
        <v>1660.155677731</v>
      </c>
      <c r="K14" s="5">
        <v>1424.5807493110001</v>
      </c>
      <c r="L14" s="5">
        <v>1303.3394578320001</v>
      </c>
      <c r="M14" s="5">
        <v>1489.2525457919999</v>
      </c>
      <c r="N14" s="5">
        <f t="shared" si="0"/>
        <v>17754.527740008001</v>
      </c>
      <c r="R14" s="21"/>
      <c r="U14" s="21"/>
    </row>
    <row r="15" spans="1:21" x14ac:dyDescent="0.25">
      <c r="A15" s="4" t="s">
        <v>22</v>
      </c>
      <c r="B15" s="5">
        <v>104.616465202</v>
      </c>
      <c r="C15" s="5">
        <v>45.543465170999987</v>
      </c>
      <c r="D15" s="5">
        <v>120.26037679800001</v>
      </c>
      <c r="E15" s="5">
        <v>75.583546856999988</v>
      </c>
      <c r="F15" s="5">
        <v>101.238822857</v>
      </c>
      <c r="G15" s="5">
        <v>75.004852678700004</v>
      </c>
      <c r="H15" s="5">
        <v>76.993965061300003</v>
      </c>
      <c r="I15" s="5">
        <v>98.109770309999988</v>
      </c>
      <c r="J15" s="5">
        <v>86.760852310999994</v>
      </c>
      <c r="K15" s="5">
        <v>87.427262609999985</v>
      </c>
      <c r="L15" s="5">
        <v>71.731057918000005</v>
      </c>
      <c r="M15" s="5">
        <v>65.216004778999974</v>
      </c>
      <c r="N15" s="5">
        <f t="shared" si="0"/>
        <v>1008.486442553</v>
      </c>
      <c r="R15" s="21"/>
      <c r="U15" s="21"/>
    </row>
    <row r="16" spans="1:21" x14ac:dyDescent="0.25">
      <c r="A16" s="4" t="s">
        <v>24</v>
      </c>
      <c r="B16" s="5">
        <v>7835.842697517608</v>
      </c>
      <c r="C16" s="5">
        <v>8097.3784256719737</v>
      </c>
      <c r="D16" s="5">
        <v>7525.9767660250345</v>
      </c>
      <c r="E16" s="5">
        <v>8180.1021894534179</v>
      </c>
      <c r="F16" s="5">
        <v>7118.6159731426505</v>
      </c>
      <c r="G16" s="5">
        <v>6545.7503443460137</v>
      </c>
      <c r="H16" s="5">
        <v>7198.1288312828483</v>
      </c>
      <c r="I16" s="5">
        <v>7562.6130636421631</v>
      </c>
      <c r="J16" s="5">
        <v>8286.6732022409196</v>
      </c>
      <c r="K16" s="5">
        <v>8294.091411372865</v>
      </c>
      <c r="L16" s="5">
        <v>7372.5936545431341</v>
      </c>
      <c r="M16" s="5">
        <v>8152.6410657857796</v>
      </c>
      <c r="N16" s="5">
        <f>SUM(B16:M16)</f>
        <v>92170.407625024396</v>
      </c>
      <c r="R16" s="21"/>
      <c r="U16" s="21"/>
    </row>
    <row r="17" spans="1:21" x14ac:dyDescent="0.25">
      <c r="A17" s="4" t="s">
        <v>25</v>
      </c>
      <c r="B17" s="5">
        <v>1961.3370264765908</v>
      </c>
      <c r="C17" s="5">
        <v>1907.8931191740003</v>
      </c>
      <c r="D17" s="5">
        <v>1803.5070950430013</v>
      </c>
      <c r="E17" s="5">
        <v>2208.7420775790001</v>
      </c>
      <c r="F17" s="5">
        <v>2039.369794423</v>
      </c>
      <c r="G17" s="5">
        <v>2441.4581428410002</v>
      </c>
      <c r="H17" s="5">
        <v>2228.5473668600002</v>
      </c>
      <c r="I17" s="5">
        <v>2109.163168603</v>
      </c>
      <c r="J17" s="5">
        <v>2278.0282409239999</v>
      </c>
      <c r="K17" s="5">
        <v>2476.5273915700004</v>
      </c>
      <c r="L17" s="5">
        <v>2193.2436302249998</v>
      </c>
      <c r="M17" s="5">
        <v>2402.9411832369997</v>
      </c>
      <c r="N17" s="5">
        <f t="shared" si="0"/>
        <v>26050.758236955593</v>
      </c>
      <c r="R17" s="21"/>
      <c r="U17" s="21"/>
    </row>
    <row r="18" spans="1:21" x14ac:dyDescent="0.25">
      <c r="A18" s="4" t="s">
        <v>26</v>
      </c>
      <c r="B18" s="5">
        <v>28.229205268000001</v>
      </c>
      <c r="C18" s="5">
        <v>50.334572029</v>
      </c>
      <c r="D18" s="5">
        <v>48.844880940000003</v>
      </c>
      <c r="E18" s="5">
        <v>40.094319766000005</v>
      </c>
      <c r="F18" s="5">
        <v>48.210744990000002</v>
      </c>
      <c r="G18" s="5">
        <v>80.443741633999991</v>
      </c>
      <c r="H18" s="5">
        <v>62.783113895999996</v>
      </c>
      <c r="I18" s="5">
        <v>59.455961508999998</v>
      </c>
      <c r="J18" s="5">
        <v>57.370702623000007</v>
      </c>
      <c r="K18" s="5">
        <v>42.409723688</v>
      </c>
      <c r="L18" s="5">
        <v>48.005139108999991</v>
      </c>
      <c r="M18" s="5">
        <v>65.614814628999994</v>
      </c>
      <c r="N18" s="5">
        <f t="shared" si="0"/>
        <v>631.79692008099994</v>
      </c>
      <c r="R18" s="21"/>
      <c r="U18" s="21"/>
    </row>
    <row r="19" spans="1:21" x14ac:dyDescent="0.25">
      <c r="A19" s="4" t="s">
        <v>27</v>
      </c>
      <c r="B19" s="5">
        <v>99.755957080000002</v>
      </c>
      <c r="C19" s="5">
        <v>125.319633591</v>
      </c>
      <c r="D19" s="5">
        <v>112.84772909899999</v>
      </c>
      <c r="E19" s="5">
        <v>75.029346000000004</v>
      </c>
      <c r="F19" s="5">
        <v>106.38594252499999</v>
      </c>
      <c r="G19" s="5">
        <v>88.616937931999999</v>
      </c>
      <c r="H19" s="5">
        <v>89.836504175000002</v>
      </c>
      <c r="I19" s="5">
        <v>122.74817634600001</v>
      </c>
      <c r="J19" s="5">
        <v>128.850139781</v>
      </c>
      <c r="K19" s="5">
        <v>125.24061028599999</v>
      </c>
      <c r="L19" s="5">
        <v>98.603546252000001</v>
      </c>
      <c r="M19" s="5">
        <v>126.447656272</v>
      </c>
      <c r="N19" s="5">
        <f t="shared" si="0"/>
        <v>1299.6821793389997</v>
      </c>
      <c r="R19" s="21"/>
      <c r="U19" s="21"/>
    </row>
    <row r="20" spans="1:21" x14ac:dyDescent="0.25">
      <c r="A20" s="4" t="s">
        <v>28</v>
      </c>
      <c r="B20" s="5">
        <v>857.33257908999985</v>
      </c>
      <c r="C20" s="5">
        <v>899.680656441</v>
      </c>
      <c r="D20" s="5">
        <v>810.29993166300005</v>
      </c>
      <c r="E20" s="5">
        <v>1021.5177555560001</v>
      </c>
      <c r="F20" s="5">
        <v>1008.5000000980001</v>
      </c>
      <c r="G20" s="5">
        <v>1016.6094144110001</v>
      </c>
      <c r="H20" s="5">
        <v>894.04862507399992</v>
      </c>
      <c r="I20" s="5">
        <v>741.15327475200002</v>
      </c>
      <c r="J20" s="5">
        <v>764.68382372099995</v>
      </c>
      <c r="K20" s="5">
        <v>846.03077585400001</v>
      </c>
      <c r="L20" s="5">
        <v>709.37845987900005</v>
      </c>
      <c r="M20" s="5">
        <v>756.935197507</v>
      </c>
      <c r="N20" s="5">
        <f t="shared" si="0"/>
        <v>10326.170494046</v>
      </c>
      <c r="R20" s="21"/>
      <c r="U20" s="21"/>
    </row>
    <row r="21" spans="1:21" x14ac:dyDescent="0.25">
      <c r="A21" s="4" t="s">
        <v>29</v>
      </c>
      <c r="B21" s="5">
        <v>95.421773773000027</v>
      </c>
      <c r="C21" s="5">
        <v>32.797999505999996</v>
      </c>
      <c r="D21" s="5">
        <v>33.511023254000001</v>
      </c>
      <c r="E21" s="5">
        <v>32.641021369000001</v>
      </c>
      <c r="F21" s="5">
        <v>26.221</v>
      </c>
      <c r="G21" s="5">
        <v>38.483000000000004</v>
      </c>
      <c r="H21" s="5">
        <v>28.894397345999998</v>
      </c>
      <c r="I21" s="5">
        <v>49.573089546999995</v>
      </c>
      <c r="J21" s="5">
        <v>42.501999999999995</v>
      </c>
      <c r="K21" s="5">
        <v>47.653514000000001</v>
      </c>
      <c r="L21" s="5">
        <v>47.029119000000001</v>
      </c>
      <c r="M21" s="5">
        <v>57.841000000000001</v>
      </c>
      <c r="N21" s="5">
        <f t="shared" si="0"/>
        <v>532.56893779500001</v>
      </c>
      <c r="R21" s="21"/>
      <c r="U21" s="21"/>
    </row>
    <row r="22" spans="1:21" x14ac:dyDescent="0.25">
      <c r="A22" s="4" t="s">
        <v>30</v>
      </c>
      <c r="B22" s="5">
        <v>541.4352852799999</v>
      </c>
      <c r="C22" s="5">
        <v>561.74280849900003</v>
      </c>
      <c r="D22" s="5">
        <v>498.77894915899992</v>
      </c>
      <c r="E22" s="5">
        <v>281.59671452799995</v>
      </c>
      <c r="F22" s="5">
        <v>207.51805115600001</v>
      </c>
      <c r="G22" s="5">
        <v>209.636995337</v>
      </c>
      <c r="H22" s="5">
        <v>297.76428090599995</v>
      </c>
      <c r="I22" s="5">
        <v>411.00330529699994</v>
      </c>
      <c r="J22" s="5">
        <v>571.29176188899999</v>
      </c>
      <c r="K22" s="5">
        <v>504.7589544540001</v>
      </c>
      <c r="L22" s="5">
        <v>544.53386700399994</v>
      </c>
      <c r="M22" s="5">
        <v>673.28525993500011</v>
      </c>
      <c r="N22" s="5">
        <f t="shared" si="0"/>
        <v>5303.3462334439992</v>
      </c>
      <c r="R22" s="21"/>
      <c r="U22" s="21"/>
    </row>
    <row r="23" spans="1:21" x14ac:dyDescent="0.25">
      <c r="A23" s="4" t="s">
        <v>31</v>
      </c>
      <c r="B23" s="5">
        <v>1226.1217930331807</v>
      </c>
      <c r="C23" s="5">
        <v>1266.8848612517797</v>
      </c>
      <c r="D23" s="5">
        <v>1199.1480864573998</v>
      </c>
      <c r="E23" s="5">
        <v>1296.3254374425001</v>
      </c>
      <c r="F23" s="5">
        <v>1243.529504486535</v>
      </c>
      <c r="G23" s="5">
        <v>1131.3483742005001</v>
      </c>
      <c r="H23" s="5">
        <v>1211.3644128322999</v>
      </c>
      <c r="I23" s="5">
        <v>1254.5607841456062</v>
      </c>
      <c r="J23" s="5">
        <v>1312.1118807478001</v>
      </c>
      <c r="K23" s="5">
        <v>1315.8943387162001</v>
      </c>
      <c r="L23" s="5">
        <v>1190.4242240838998</v>
      </c>
      <c r="M23" s="5">
        <v>1315.7175399999999</v>
      </c>
      <c r="N23" s="5">
        <f t="shared" si="0"/>
        <v>14963.431237397699</v>
      </c>
      <c r="R23" s="21"/>
      <c r="U23" s="21"/>
    </row>
    <row r="24" spans="1:21" x14ac:dyDescent="0.25">
      <c r="A24" s="4" t="s">
        <v>32</v>
      </c>
      <c r="B24" s="5">
        <v>2930.923274451</v>
      </c>
      <c r="C24" s="5">
        <v>2738.0600836980002</v>
      </c>
      <c r="D24" s="5">
        <v>2779.2305072919994</v>
      </c>
      <c r="E24" s="5">
        <v>3041.7136607918128</v>
      </c>
      <c r="F24" s="5">
        <v>2893.7448480367948</v>
      </c>
      <c r="G24" s="5">
        <v>3279.4371591522054</v>
      </c>
      <c r="H24" s="5">
        <v>2940.5702650617941</v>
      </c>
      <c r="I24" s="5">
        <v>3005.405328756</v>
      </c>
      <c r="J24" s="5">
        <v>2968.8657210752999</v>
      </c>
      <c r="K24" s="5">
        <v>2749.5570424419998</v>
      </c>
      <c r="L24" s="5">
        <v>2621.747205571</v>
      </c>
      <c r="M24" s="5">
        <v>2803.4190390410004</v>
      </c>
      <c r="N24" s="5">
        <f t="shared" si="0"/>
        <v>34752.674135368899</v>
      </c>
      <c r="R24" s="21"/>
      <c r="U24" s="21"/>
    </row>
    <row r="25" spans="1:21" x14ac:dyDescent="0.25">
      <c r="A25" s="7" t="s">
        <v>33</v>
      </c>
      <c r="B25" s="8">
        <f t="shared" ref="B25:I25" si="1">SUM(B10:B24)</f>
        <v>23367.722305133921</v>
      </c>
      <c r="C25" s="8">
        <f t="shared" si="1"/>
        <v>24019.653203254726</v>
      </c>
      <c r="D25" s="8">
        <f t="shared" si="1"/>
        <v>22724.656979283416</v>
      </c>
      <c r="E25" s="8">
        <f t="shared" si="1"/>
        <v>24379.850089349296</v>
      </c>
      <c r="F25" s="8">
        <f t="shared" si="1"/>
        <v>22703.255338967741</v>
      </c>
      <c r="G25" s="8">
        <f t="shared" si="1"/>
        <v>22724.393212879568</v>
      </c>
      <c r="H25" s="8">
        <f t="shared" si="1"/>
        <v>22956.670081489308</v>
      </c>
      <c r="I25" s="8">
        <f t="shared" si="1"/>
        <v>23390.581390869927</v>
      </c>
      <c r="J25" s="8">
        <f>SUM(J10:J24)</f>
        <v>25184.15170140965</v>
      </c>
      <c r="K25" s="8">
        <f>SUM(K10:K24)</f>
        <v>24872.070529267898</v>
      </c>
      <c r="L25" s="8">
        <f>SUM(L10:L24)</f>
        <v>22558.264890090952</v>
      </c>
      <c r="M25" s="8">
        <f>SUM(M10:M24)</f>
        <v>24889.378930798874</v>
      </c>
      <c r="N25" s="8">
        <f>SUM(N10:N24)</f>
        <v>283770.64865279524</v>
      </c>
      <c r="P25" s="21"/>
      <c r="R25" s="21"/>
      <c r="T25" s="21"/>
      <c r="U25" s="21"/>
    </row>
    <row r="26" spans="1:21" x14ac:dyDescent="0.25">
      <c r="A26" s="4" t="s">
        <v>34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23"/>
    </row>
    <row r="27" spans="1:21" x14ac:dyDescent="0.25">
      <c r="A27" s="4" t="s">
        <v>35</v>
      </c>
      <c r="B27" s="8">
        <v>23087.469302133926</v>
      </c>
      <c r="C27" s="8">
        <v>23718.257493254714</v>
      </c>
      <c r="D27" s="8">
        <v>22426.747297283418</v>
      </c>
      <c r="E27" s="8">
        <v>24064.189998349288</v>
      </c>
      <c r="F27" s="8">
        <v>22408.300191967734</v>
      </c>
      <c r="G27" s="8">
        <v>22425.600633879556</v>
      </c>
      <c r="H27" s="8">
        <v>22659.522072489297</v>
      </c>
      <c r="I27" s="8">
        <v>23125.585651869926</v>
      </c>
      <c r="J27" s="8">
        <v>24917.210422409644</v>
      </c>
      <c r="K27" s="8">
        <v>24616.55590626788</v>
      </c>
      <c r="L27" s="8">
        <v>22346.695540090954</v>
      </c>
      <c r="M27" s="8">
        <v>24656.112793798882</v>
      </c>
      <c r="N27" s="23">
        <f>SUM(B27:M27)</f>
        <v>280452.24730379524</v>
      </c>
      <c r="O27" s="21"/>
    </row>
    <row r="28" spans="1:21" x14ac:dyDescent="0.25">
      <c r="A28" s="4"/>
      <c r="B28" s="5"/>
      <c r="C28" s="5"/>
      <c r="D28" s="5"/>
      <c r="E28" s="9"/>
      <c r="F28" s="5"/>
      <c r="G28" s="5"/>
      <c r="H28" s="5"/>
      <c r="I28" s="5"/>
      <c r="J28" s="5"/>
      <c r="K28" s="5"/>
      <c r="L28" s="5"/>
      <c r="M28" s="5"/>
      <c r="N28" s="23"/>
      <c r="O28" s="21"/>
    </row>
    <row r="29" spans="1:21" x14ac:dyDescent="0.25">
      <c r="A29" s="4" t="s">
        <v>36</v>
      </c>
      <c r="B29" s="8">
        <v>280.25300300000004</v>
      </c>
      <c r="C29" s="8">
        <v>301.39571000000001</v>
      </c>
      <c r="D29" s="8">
        <v>297.90968199999998</v>
      </c>
      <c r="E29" s="8">
        <v>315.66009099999997</v>
      </c>
      <c r="F29" s="8">
        <v>294.9551469999999</v>
      </c>
      <c r="G29" s="8">
        <v>298.79257899999999</v>
      </c>
      <c r="H29" s="8">
        <v>297.148009</v>
      </c>
      <c r="I29" s="8">
        <v>264.99573900000007</v>
      </c>
      <c r="J29" s="8">
        <v>266.94127900000007</v>
      </c>
      <c r="K29" s="8">
        <v>255.514623</v>
      </c>
      <c r="L29" s="8">
        <v>211.56934999999999</v>
      </c>
      <c r="M29" s="8">
        <v>233.26613700000004</v>
      </c>
      <c r="N29" s="23">
        <f>SUM(B29:M29)</f>
        <v>3318.4013490000002</v>
      </c>
      <c r="O29" s="21"/>
    </row>
    <row r="30" spans="1:21" x14ac:dyDescent="0.25">
      <c r="A30" s="10"/>
      <c r="B30" s="11">
        <f t="shared" ref="B30:N30" si="2">+B27+B29</f>
        <v>23367.722305133928</v>
      </c>
      <c r="C30" s="11">
        <f t="shared" si="2"/>
        <v>24019.653203254715</v>
      </c>
      <c r="D30" s="11">
        <f t="shared" si="2"/>
        <v>22724.65697928342</v>
      </c>
      <c r="E30" s="11">
        <f t="shared" si="2"/>
        <v>24379.850089349289</v>
      </c>
      <c r="F30" s="11">
        <f t="shared" si="2"/>
        <v>22703.255338967734</v>
      </c>
      <c r="G30" s="11">
        <f t="shared" si="2"/>
        <v>22724.393212879557</v>
      </c>
      <c r="H30" s="11">
        <f t="shared" si="2"/>
        <v>22956.670081489297</v>
      </c>
      <c r="I30" s="11">
        <f t="shared" si="2"/>
        <v>23390.581390869927</v>
      </c>
      <c r="J30" s="11">
        <f t="shared" si="2"/>
        <v>25184.151701409643</v>
      </c>
      <c r="K30" s="11">
        <f t="shared" si="2"/>
        <v>24872.070529267879</v>
      </c>
      <c r="L30" s="11">
        <f t="shared" si="2"/>
        <v>22558.264890090955</v>
      </c>
      <c r="M30" s="11">
        <f t="shared" si="2"/>
        <v>24889.378930798881</v>
      </c>
      <c r="N30" s="23">
        <f t="shared" si="2"/>
        <v>283770.64865279524</v>
      </c>
      <c r="O30" s="21"/>
    </row>
    <row r="31" spans="1:21" x14ac:dyDescent="0.25">
      <c r="A31" s="36" t="s">
        <v>37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8"/>
      <c r="O31" s="24"/>
    </row>
    <row r="32" spans="1:21" x14ac:dyDescent="0.25">
      <c r="A32" s="2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9"/>
      <c r="O32" s="21"/>
    </row>
    <row r="33" spans="2:15" x14ac:dyDescent="0.25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</row>
    <row r="34" spans="2:15" x14ac:dyDescent="0.25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</row>
    <row r="35" spans="2:15" x14ac:dyDescent="0.25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</row>
    <row r="36" spans="2:15" x14ac:dyDescent="0.25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 spans="2:15" x14ac:dyDescent="0.25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 spans="2:15" x14ac:dyDescent="0.25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 spans="2:15" x14ac:dyDescent="0.2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 spans="2:15" x14ac:dyDescent="0.2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 spans="2:15" x14ac:dyDescent="0.25"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 spans="2:15" x14ac:dyDescent="0.25"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 spans="2:15" x14ac:dyDescent="0.25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</sheetData>
  <mergeCells count="6">
    <mergeCell ref="A32:N32"/>
    <mergeCell ref="A2:B6"/>
    <mergeCell ref="C2:H2"/>
    <mergeCell ref="I7:N7"/>
    <mergeCell ref="A8:N8"/>
    <mergeCell ref="A31:N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PT_PRODUCTION</vt:lpstr>
      <vt:lpstr>Monthwise 24-25 (P)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DALEEP KANOJIA</dc:creator>
  <cp:lastModifiedBy>K Vikrant Rao</cp:lastModifiedBy>
  <dcterms:created xsi:type="dcterms:W3CDTF">2020-11-02T04:59:37Z</dcterms:created>
  <dcterms:modified xsi:type="dcterms:W3CDTF">2026-04-28T05:09:01Z</dcterms:modified>
</cp:coreProperties>
</file>