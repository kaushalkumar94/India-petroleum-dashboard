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KumarDwivediBro\Downloads\"/>
    </mc:Choice>
  </mc:AlternateContent>
  <xr:revisionPtr revIDLastSave="0" documentId="8_{05E210CE-919D-4F75-9457-3F631E7EE132}" xr6:coauthVersionLast="47" xr6:coauthVersionMax="47" xr10:uidLastSave="{00000000-0000-0000-0000-000000000000}"/>
  <bookViews>
    <workbookView xWindow="-28920" yWindow="-120" windowWidth="29040" windowHeight="15840" xr2:uid="{07582FB2-9C36-4A56-9A01-ADA8E4FCA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L30" i="1"/>
  <c r="K30" i="1"/>
  <c r="J30" i="1"/>
  <c r="I30" i="1"/>
  <c r="H30" i="1"/>
  <c r="G30" i="1"/>
  <c r="F30" i="1"/>
  <c r="E30" i="1"/>
  <c r="D30" i="1"/>
  <c r="C30" i="1"/>
  <c r="B30" i="1"/>
  <c r="N29" i="1"/>
  <c r="N27" i="1"/>
  <c r="N30" i="1" s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N23" i="1"/>
  <c r="N22" i="1"/>
  <c r="N21" i="1"/>
  <c r="N20" i="1"/>
  <c r="N19" i="1"/>
  <c r="N18" i="1"/>
  <c r="N17" i="1"/>
  <c r="N16" i="1"/>
  <c r="N15" i="1"/>
  <c r="N14" i="1"/>
  <c r="N13" i="1"/>
  <c r="N25" i="1" s="1"/>
  <c r="N12" i="1"/>
  <c r="N11" i="1"/>
  <c r="N10" i="1"/>
</calcChain>
</file>

<file path=xl/sharedStrings.xml><?xml version="1.0" encoding="utf-8"?>
<sst xmlns="http://schemas.openxmlformats.org/spreadsheetml/2006/main" count="39" uniqueCount="39">
  <si>
    <t>Petroleum Planning &amp; Analysis Cell</t>
  </si>
  <si>
    <t>('000 Metric Tonnes)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</si>
  <si>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</si>
  <si>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</si>
  <si>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</si>
  <si>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</si>
  <si>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</si>
  <si>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</si>
  <si>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</si>
  <si>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</si>
  <si>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</si>
  <si>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</si>
  <si>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</si>
  <si>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</si>
  <si>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</si>
  <si>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Note :</t>
  </si>
  <si>
    <t>Production of Petroleum Products by Refineries &amp; Fractionators</t>
  </si>
  <si>
    <t>PRODUCTS</t>
  </si>
  <si>
    <t>LPG</t>
  </si>
  <si>
    <t>NAPHTHA</t>
  </si>
  <si>
    <t>MS-VI</t>
  </si>
  <si>
    <t>MS Others</t>
  </si>
  <si>
    <t>ATF</t>
  </si>
  <si>
    <t>SKO</t>
  </si>
  <si>
    <t>HSD-VI</t>
  </si>
  <si>
    <t>HSD Others</t>
  </si>
  <si>
    <t>LDO</t>
  </si>
  <si>
    <t>LUBES</t>
  </si>
  <si>
    <t>FO</t>
  </si>
  <si>
    <t>LSHS</t>
  </si>
  <si>
    <t>BITUMEN</t>
  </si>
  <si>
    <t>RPC/Petcoke</t>
  </si>
  <si>
    <t>Others</t>
  </si>
  <si>
    <t>TOTAL,</t>
  </si>
  <si>
    <t>of which</t>
  </si>
  <si>
    <t>REFINERIES</t>
  </si>
  <si>
    <t>FRACTIONATORS</t>
  </si>
  <si>
    <t>All figures are provisional.  Source : Oil Companies.</t>
  </si>
  <si>
    <t>2024 -25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</si>
</sst>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78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6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1"/>
      <color theme="1"/>
      <name val="Arial"/>
      <family val="2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DF70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4" fillId="0" borderId="0"/>
  </cellStyleXfs>
  <cellXfs count="2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8" fillId="0" borderId="0" xfId="1" applyFont="1"/>
    <xf numFmtId="0" fontId="2" fillId="0" borderId="0" xfId="1" applyFont="1"/>
    <xf numFmtId="0" fontId="9" fillId="0" borderId="0" xfId="1" applyFont="1" applyAlignment="1">
      <alignment horizontal="right" vertical="top"/>
    </xf>
    <xf numFmtId="0" fontId="5" fillId="3" borderId="7" xfId="1" applyFont="1" applyFill="1" applyBorder="1" applyAlignment="1">
      <alignment horizontal="center" vertical="top"/>
    </xf>
    <xf numFmtId="0" fontId="5" fillId="3" borderId="8" xfId="1" applyFont="1" applyFill="1" applyBorder="1" applyAlignment="1">
      <alignment horizontal="center" vertical="top"/>
    </xf>
    <xf numFmtId="0" fontId="5" fillId="3" borderId="9" xfId="1" applyFont="1" applyFill="1" applyBorder="1" applyAlignment="1">
      <alignment horizontal="center" vertical="top"/>
    </xf>
    <xf numFmtId="0" fontId="5" fillId="2" borderId="2" xfId="1" applyFont="1" applyFill="1" applyBorder="1" applyAlignment="1">
      <alignment vertical="center" wrapText="1"/>
    </xf>
    <xf numFmtId="0" fontId="9" fillId="0" borderId="1" xfId="1" applyFont="1" applyBorder="1"/>
    <xf numFmtId="0" fontId="10" fillId="0" borderId="1" xfId="1" applyFont="1" applyBorder="1"/>
    <xf numFmtId="1" fontId="10" fillId="0" borderId="1" xfId="1" applyNumberFormat="1" applyFont="1" applyBorder="1"/>
    <xf numFmtId="1" fontId="9" fillId="0" borderId="1" xfId="1" applyNumberFormat="1" applyFont="1" applyBorder="1"/>
    <xf numFmtId="0" fontId="9" fillId="0" borderId="2" xfId="1" applyFont="1" applyBorder="1"/>
    <xf numFmtId="1" fontId="9" fillId="0" borderId="2" xfId="1" applyNumberFormat="1" applyFont="1" applyBorder="1"/>
    <xf numFmtId="0" fontId="9" fillId="0" borderId="3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10" xfId="1" applyFont="1" applyBorder="1" applyAlignment="1">
      <alignment horizontal="left"/>
    </xf>
    <xf numFmtId="0" fontId="3" fillId="0" borderId="0" xfId="1" applyFont="1" applyAlignment="1">
      <alignment horizontal="left" vertical="top"/>
    </xf>
    <xf numFmtId="0" fontId="5" fillId="2" borderId="2" xfId="1" applyFont="1" applyFill="1" applyBorder="1" applyAlignment="1">
      <alignment horizontal="right" vertical="top" wrapText="1"/>
    </xf>
    <xf numFmtId="165" fontId="10" fillId="0" borderId="1" xfId="1" applyNumberFormat="1" applyFont="1" applyBorder="1"/>
    <xf numFmtId="0" fontId="10" fillId="0" borderId="5" xfId="1" applyFont="1" applyBorder="1" applyAlignment="1">
      <alignment horizontal="left"/>
    </xf>
    <xf numFmtId="0" fontId="10" fillId="0" borderId="6" xfId="1" applyFont="1" applyBorder="1" applyAlignment="1">
      <alignment horizontal="left"/>
    </xf>
    <xf numFmtId="0" fontId="10" fillId="0" borderId="11" xfId="1" applyFont="1" applyBorder="1" applyAlignment="1">
      <alignment horizontal="left"/>
    </xf>
    <xf numFmtId="1" fontId="0" fillId="0" borderId="0" xfId="0" applyNumberFormat="1"/>
    <xf numFmtId="1" fontId="7" fillId="0" borderId="1" xfId="1" applyNumberFormat="1" applyFont="1" applyBorder="1"/>
    <xf numFmtId="1" fontId="9" fillId="4" borderId="1" xfId="1" applyNumberFormat="1" applyFont="1" applyFill="1" applyBorder="1"/>
    <xf numFmtId="178" fontId="0" fillId="0" borderId="0" xfId="0" applyNumberFormat="1"/>
  </cellXfs>
  <cellStyles count="5">
    <cellStyle name="Normal" xfId="0" builtinId="0"/>
    <cellStyle name="Normal 16" xfId="1" xr:uid="{311FC51E-7AE4-40A8-8C52-DEEE6A831484}"/>
    <cellStyle name="Normal 4" xfId="2" xr:uid="{2563BE17-D905-41D8-9A1D-A14AC4827BEE}"/>
    <cellStyle name="Normal 8 2" xfId="3" xr:uid="{5E2F7C23-6BB9-4EA3-8192-3E056BE949DB}"/>
    <cellStyle name="Normal 90" xfId="4" xr:uid="{A7F9E73B-AEC6-4D6B-9DFD-4E1B063B3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</xdr:colOff>
      <xdr:row>0</xdr:row>
      <xdr:rowOff>0</xdr:rowOff>
    </xdr:from>
    <xdr:to>
      <xdr:col>0</xdr:col>
      <xdr:colOff>849451</xdr:colOff>
      <xdr:row>4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A6DB327-1037-4C81-96A7-90D41ECE1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" y="0"/>
          <a:ext cx="820877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BF10-9E1F-4E64-9555-EA8D15A62572}">
  <dimension ref="A1:U43"/>
  <sheetViews>
    <sheetView tabSelected="1" workbookViewId="0">
      <selection activeCell="Q17" sqref="Q17"/>
    </sheetView>
  </sheetViews>
  <sheetFormatPr defaultRowHeight="14.5" x14ac:dyDescent="0.35"/>
  <cols>
    <col min="1" max="1" width="21" customWidth="1"/>
    <col min="2" max="2" width="9.54296875" customWidth="1"/>
    <col min="3" max="3" width="10.1796875" customWidth="1"/>
    <col min="4" max="4" width="10.7265625" customWidth="1"/>
    <col min="5" max="5" width="11" customWidth="1"/>
    <col min="6" max="6" width="10.453125" customWidth="1"/>
    <col min="7" max="7" width="9.54296875" customWidth="1"/>
    <col min="8" max="8" width="10" customWidth="1"/>
    <col min="9" max="9" width="11" customWidth="1"/>
    <col min="10" max="10" width="10.26953125" customWidth="1"/>
    <col min="11" max="11" width="10.81640625" customWidth="1"/>
    <col min="12" max="12" width="10.1796875" customWidth="1"/>
    <col min="13" max="13" width="10.81640625" customWidth="1"/>
    <col min="14" max="14" width="14.54296875" customWidth="1"/>
    <col min="17" max="17" width="12.26953125" customWidth="1"/>
    <col min="257" max="257" width="21" customWidth="1"/>
    <col min="258" max="258" width="9.54296875" customWidth="1"/>
    <col min="259" max="259" width="10.1796875" customWidth="1"/>
    <col min="260" max="260" width="10.7265625" customWidth="1"/>
    <col min="261" max="261" width="11" customWidth="1"/>
    <col min="262" max="262" width="10.453125" customWidth="1"/>
    <col min="263" max="263" width="9.54296875" customWidth="1"/>
    <col min="264" max="264" width="10" customWidth="1"/>
    <col min="265" max="265" width="11" customWidth="1"/>
    <col min="266" max="266" width="10.26953125" customWidth="1"/>
    <col min="267" max="267" width="10.81640625" customWidth="1"/>
    <col min="268" max="268" width="10.1796875" customWidth="1"/>
    <col min="269" max="269" width="10.81640625" customWidth="1"/>
    <col min="270" max="270" width="14.54296875" customWidth="1"/>
    <col min="273" max="273" width="12.26953125" customWidth="1"/>
    <col min="513" max="513" width="21" customWidth="1"/>
    <col min="514" max="514" width="9.54296875" customWidth="1"/>
    <col min="515" max="515" width="10.1796875" customWidth="1"/>
    <col min="516" max="516" width="10.7265625" customWidth="1"/>
    <col min="517" max="517" width="11" customWidth="1"/>
    <col min="518" max="518" width="10.453125" customWidth="1"/>
    <col min="519" max="519" width="9.54296875" customWidth="1"/>
    <col min="520" max="520" width="10" customWidth="1"/>
    <col min="521" max="521" width="11" customWidth="1"/>
    <col min="522" max="522" width="10.26953125" customWidth="1"/>
    <col min="523" max="523" width="10.81640625" customWidth="1"/>
    <col min="524" max="524" width="10.1796875" customWidth="1"/>
    <col min="525" max="525" width="10.81640625" customWidth="1"/>
    <col min="526" max="526" width="14.54296875" customWidth="1"/>
    <col min="529" max="529" width="12.26953125" customWidth="1"/>
    <col min="769" max="769" width="21" customWidth="1"/>
    <col min="770" max="770" width="9.54296875" customWidth="1"/>
    <col min="771" max="771" width="10.1796875" customWidth="1"/>
    <col min="772" max="772" width="10.7265625" customWidth="1"/>
    <col min="773" max="773" width="11" customWidth="1"/>
    <col min="774" max="774" width="10.453125" customWidth="1"/>
    <col min="775" max="775" width="9.54296875" customWidth="1"/>
    <col min="776" max="776" width="10" customWidth="1"/>
    <col min="777" max="777" width="11" customWidth="1"/>
    <col min="778" max="778" width="10.26953125" customWidth="1"/>
    <col min="779" max="779" width="10.81640625" customWidth="1"/>
    <col min="780" max="780" width="10.1796875" customWidth="1"/>
    <col min="781" max="781" width="10.81640625" customWidth="1"/>
    <col min="782" max="782" width="14.54296875" customWidth="1"/>
    <col min="785" max="785" width="12.26953125" customWidth="1"/>
    <col min="1025" max="1025" width="21" customWidth="1"/>
    <col min="1026" max="1026" width="9.54296875" customWidth="1"/>
    <col min="1027" max="1027" width="10.1796875" customWidth="1"/>
    <col min="1028" max="1028" width="10.7265625" customWidth="1"/>
    <col min="1029" max="1029" width="11" customWidth="1"/>
    <col min="1030" max="1030" width="10.453125" customWidth="1"/>
    <col min="1031" max="1031" width="9.54296875" customWidth="1"/>
    <col min="1032" max="1032" width="10" customWidth="1"/>
    <col min="1033" max="1033" width="11" customWidth="1"/>
    <col min="1034" max="1034" width="10.26953125" customWidth="1"/>
    <col min="1035" max="1035" width="10.81640625" customWidth="1"/>
    <col min="1036" max="1036" width="10.1796875" customWidth="1"/>
    <col min="1037" max="1037" width="10.81640625" customWidth="1"/>
    <col min="1038" max="1038" width="14.54296875" customWidth="1"/>
    <col min="1041" max="1041" width="12.26953125" customWidth="1"/>
    <col min="1281" max="1281" width="21" customWidth="1"/>
    <col min="1282" max="1282" width="9.54296875" customWidth="1"/>
    <col min="1283" max="1283" width="10.1796875" customWidth="1"/>
    <col min="1284" max="1284" width="10.7265625" customWidth="1"/>
    <col min="1285" max="1285" width="11" customWidth="1"/>
    <col min="1286" max="1286" width="10.453125" customWidth="1"/>
    <col min="1287" max="1287" width="9.54296875" customWidth="1"/>
    <col min="1288" max="1288" width="10" customWidth="1"/>
    <col min="1289" max="1289" width="11" customWidth="1"/>
    <col min="1290" max="1290" width="10.26953125" customWidth="1"/>
    <col min="1291" max="1291" width="10.81640625" customWidth="1"/>
    <col min="1292" max="1292" width="10.1796875" customWidth="1"/>
    <col min="1293" max="1293" width="10.81640625" customWidth="1"/>
    <col min="1294" max="1294" width="14.54296875" customWidth="1"/>
    <col min="1297" max="1297" width="12.26953125" customWidth="1"/>
    <col min="1537" max="1537" width="21" customWidth="1"/>
    <col min="1538" max="1538" width="9.54296875" customWidth="1"/>
    <col min="1539" max="1539" width="10.1796875" customWidth="1"/>
    <col min="1540" max="1540" width="10.7265625" customWidth="1"/>
    <col min="1541" max="1541" width="11" customWidth="1"/>
    <col min="1542" max="1542" width="10.453125" customWidth="1"/>
    <col min="1543" max="1543" width="9.54296875" customWidth="1"/>
    <col min="1544" max="1544" width="10" customWidth="1"/>
    <col min="1545" max="1545" width="11" customWidth="1"/>
    <col min="1546" max="1546" width="10.26953125" customWidth="1"/>
    <col min="1547" max="1547" width="10.81640625" customWidth="1"/>
    <col min="1548" max="1548" width="10.1796875" customWidth="1"/>
    <col min="1549" max="1549" width="10.81640625" customWidth="1"/>
    <col min="1550" max="1550" width="14.54296875" customWidth="1"/>
    <col min="1553" max="1553" width="12.26953125" customWidth="1"/>
    <col min="1793" max="1793" width="21" customWidth="1"/>
    <col min="1794" max="1794" width="9.54296875" customWidth="1"/>
    <col min="1795" max="1795" width="10.1796875" customWidth="1"/>
    <col min="1796" max="1796" width="10.7265625" customWidth="1"/>
    <col min="1797" max="1797" width="11" customWidth="1"/>
    <col min="1798" max="1798" width="10.453125" customWidth="1"/>
    <col min="1799" max="1799" width="9.54296875" customWidth="1"/>
    <col min="1800" max="1800" width="10" customWidth="1"/>
    <col min="1801" max="1801" width="11" customWidth="1"/>
    <col min="1802" max="1802" width="10.26953125" customWidth="1"/>
    <col min="1803" max="1803" width="10.81640625" customWidth="1"/>
    <col min="1804" max="1804" width="10.1796875" customWidth="1"/>
    <col min="1805" max="1805" width="10.81640625" customWidth="1"/>
    <col min="1806" max="1806" width="14.54296875" customWidth="1"/>
    <col min="1809" max="1809" width="12.26953125" customWidth="1"/>
    <col min="2049" max="2049" width="21" customWidth="1"/>
    <col min="2050" max="2050" width="9.54296875" customWidth="1"/>
    <col min="2051" max="2051" width="10.1796875" customWidth="1"/>
    <col min="2052" max="2052" width="10.7265625" customWidth="1"/>
    <col min="2053" max="2053" width="11" customWidth="1"/>
    <col min="2054" max="2054" width="10.453125" customWidth="1"/>
    <col min="2055" max="2055" width="9.54296875" customWidth="1"/>
    <col min="2056" max="2056" width="10" customWidth="1"/>
    <col min="2057" max="2057" width="11" customWidth="1"/>
    <col min="2058" max="2058" width="10.26953125" customWidth="1"/>
    <col min="2059" max="2059" width="10.81640625" customWidth="1"/>
    <col min="2060" max="2060" width="10.1796875" customWidth="1"/>
    <col min="2061" max="2061" width="10.81640625" customWidth="1"/>
    <col min="2062" max="2062" width="14.54296875" customWidth="1"/>
    <col min="2065" max="2065" width="12.26953125" customWidth="1"/>
    <col min="2305" max="2305" width="21" customWidth="1"/>
    <col min="2306" max="2306" width="9.54296875" customWidth="1"/>
    <col min="2307" max="2307" width="10.1796875" customWidth="1"/>
    <col min="2308" max="2308" width="10.7265625" customWidth="1"/>
    <col min="2309" max="2309" width="11" customWidth="1"/>
    <col min="2310" max="2310" width="10.453125" customWidth="1"/>
    <col min="2311" max="2311" width="9.54296875" customWidth="1"/>
    <col min="2312" max="2312" width="10" customWidth="1"/>
    <col min="2313" max="2313" width="11" customWidth="1"/>
    <col min="2314" max="2314" width="10.26953125" customWidth="1"/>
    <col min="2315" max="2315" width="10.81640625" customWidth="1"/>
    <col min="2316" max="2316" width="10.1796875" customWidth="1"/>
    <col min="2317" max="2317" width="10.81640625" customWidth="1"/>
    <col min="2318" max="2318" width="14.54296875" customWidth="1"/>
    <col min="2321" max="2321" width="12.26953125" customWidth="1"/>
    <col min="2561" max="2561" width="21" customWidth="1"/>
    <col min="2562" max="2562" width="9.54296875" customWidth="1"/>
    <col min="2563" max="2563" width="10.1796875" customWidth="1"/>
    <col min="2564" max="2564" width="10.7265625" customWidth="1"/>
    <col min="2565" max="2565" width="11" customWidth="1"/>
    <col min="2566" max="2566" width="10.453125" customWidth="1"/>
    <col min="2567" max="2567" width="9.54296875" customWidth="1"/>
    <col min="2568" max="2568" width="10" customWidth="1"/>
    <col min="2569" max="2569" width="11" customWidth="1"/>
    <col min="2570" max="2570" width="10.26953125" customWidth="1"/>
    <col min="2571" max="2571" width="10.81640625" customWidth="1"/>
    <col min="2572" max="2572" width="10.1796875" customWidth="1"/>
    <col min="2573" max="2573" width="10.81640625" customWidth="1"/>
    <col min="2574" max="2574" width="14.54296875" customWidth="1"/>
    <col min="2577" max="2577" width="12.26953125" customWidth="1"/>
    <col min="2817" max="2817" width="21" customWidth="1"/>
    <col min="2818" max="2818" width="9.54296875" customWidth="1"/>
    <col min="2819" max="2819" width="10.1796875" customWidth="1"/>
    <col min="2820" max="2820" width="10.7265625" customWidth="1"/>
    <col min="2821" max="2821" width="11" customWidth="1"/>
    <col min="2822" max="2822" width="10.453125" customWidth="1"/>
    <col min="2823" max="2823" width="9.54296875" customWidth="1"/>
    <col min="2824" max="2824" width="10" customWidth="1"/>
    <col min="2825" max="2825" width="11" customWidth="1"/>
    <col min="2826" max="2826" width="10.26953125" customWidth="1"/>
    <col min="2827" max="2827" width="10.81640625" customWidth="1"/>
    <col min="2828" max="2828" width="10.1796875" customWidth="1"/>
    <col min="2829" max="2829" width="10.81640625" customWidth="1"/>
    <col min="2830" max="2830" width="14.54296875" customWidth="1"/>
    <col min="2833" max="2833" width="12.26953125" customWidth="1"/>
    <col min="3073" max="3073" width="21" customWidth="1"/>
    <col min="3074" max="3074" width="9.54296875" customWidth="1"/>
    <col min="3075" max="3075" width="10.1796875" customWidth="1"/>
    <col min="3076" max="3076" width="10.7265625" customWidth="1"/>
    <col min="3077" max="3077" width="11" customWidth="1"/>
    <col min="3078" max="3078" width="10.453125" customWidth="1"/>
    <col min="3079" max="3079" width="9.54296875" customWidth="1"/>
    <col min="3080" max="3080" width="10" customWidth="1"/>
    <col min="3081" max="3081" width="11" customWidth="1"/>
    <col min="3082" max="3082" width="10.26953125" customWidth="1"/>
    <col min="3083" max="3083" width="10.81640625" customWidth="1"/>
    <col min="3084" max="3084" width="10.1796875" customWidth="1"/>
    <col min="3085" max="3085" width="10.81640625" customWidth="1"/>
    <col min="3086" max="3086" width="14.54296875" customWidth="1"/>
    <col min="3089" max="3089" width="12.26953125" customWidth="1"/>
    <col min="3329" max="3329" width="21" customWidth="1"/>
    <col min="3330" max="3330" width="9.54296875" customWidth="1"/>
    <col min="3331" max="3331" width="10.1796875" customWidth="1"/>
    <col min="3332" max="3332" width="10.7265625" customWidth="1"/>
    <col min="3333" max="3333" width="11" customWidth="1"/>
    <col min="3334" max="3334" width="10.453125" customWidth="1"/>
    <col min="3335" max="3335" width="9.54296875" customWidth="1"/>
    <col min="3336" max="3336" width="10" customWidth="1"/>
    <col min="3337" max="3337" width="11" customWidth="1"/>
    <col min="3338" max="3338" width="10.26953125" customWidth="1"/>
    <col min="3339" max="3339" width="10.81640625" customWidth="1"/>
    <col min="3340" max="3340" width="10.1796875" customWidth="1"/>
    <col min="3341" max="3341" width="10.81640625" customWidth="1"/>
    <col min="3342" max="3342" width="14.54296875" customWidth="1"/>
    <col min="3345" max="3345" width="12.26953125" customWidth="1"/>
    <col min="3585" max="3585" width="21" customWidth="1"/>
    <col min="3586" max="3586" width="9.54296875" customWidth="1"/>
    <col min="3587" max="3587" width="10.1796875" customWidth="1"/>
    <col min="3588" max="3588" width="10.7265625" customWidth="1"/>
    <col min="3589" max="3589" width="11" customWidth="1"/>
    <col min="3590" max="3590" width="10.453125" customWidth="1"/>
    <col min="3591" max="3591" width="9.54296875" customWidth="1"/>
    <col min="3592" max="3592" width="10" customWidth="1"/>
    <col min="3593" max="3593" width="11" customWidth="1"/>
    <col min="3594" max="3594" width="10.26953125" customWidth="1"/>
    <col min="3595" max="3595" width="10.81640625" customWidth="1"/>
    <col min="3596" max="3596" width="10.1796875" customWidth="1"/>
    <col min="3597" max="3597" width="10.81640625" customWidth="1"/>
    <col min="3598" max="3598" width="14.54296875" customWidth="1"/>
    <col min="3601" max="3601" width="12.26953125" customWidth="1"/>
    <col min="3841" max="3841" width="21" customWidth="1"/>
    <col min="3842" max="3842" width="9.54296875" customWidth="1"/>
    <col min="3843" max="3843" width="10.1796875" customWidth="1"/>
    <col min="3844" max="3844" width="10.7265625" customWidth="1"/>
    <col min="3845" max="3845" width="11" customWidth="1"/>
    <col min="3846" max="3846" width="10.453125" customWidth="1"/>
    <col min="3847" max="3847" width="9.54296875" customWidth="1"/>
    <col min="3848" max="3848" width="10" customWidth="1"/>
    <col min="3849" max="3849" width="11" customWidth="1"/>
    <col min="3850" max="3850" width="10.26953125" customWidth="1"/>
    <col min="3851" max="3851" width="10.81640625" customWidth="1"/>
    <col min="3852" max="3852" width="10.1796875" customWidth="1"/>
    <col min="3853" max="3853" width="10.81640625" customWidth="1"/>
    <col min="3854" max="3854" width="14.54296875" customWidth="1"/>
    <col min="3857" max="3857" width="12.26953125" customWidth="1"/>
    <col min="4097" max="4097" width="21" customWidth="1"/>
    <col min="4098" max="4098" width="9.54296875" customWidth="1"/>
    <col min="4099" max="4099" width="10.1796875" customWidth="1"/>
    <col min="4100" max="4100" width="10.7265625" customWidth="1"/>
    <col min="4101" max="4101" width="11" customWidth="1"/>
    <col min="4102" max="4102" width="10.453125" customWidth="1"/>
    <col min="4103" max="4103" width="9.54296875" customWidth="1"/>
    <col min="4104" max="4104" width="10" customWidth="1"/>
    <col min="4105" max="4105" width="11" customWidth="1"/>
    <col min="4106" max="4106" width="10.26953125" customWidth="1"/>
    <col min="4107" max="4107" width="10.81640625" customWidth="1"/>
    <col min="4108" max="4108" width="10.1796875" customWidth="1"/>
    <col min="4109" max="4109" width="10.81640625" customWidth="1"/>
    <col min="4110" max="4110" width="14.54296875" customWidth="1"/>
    <col min="4113" max="4113" width="12.26953125" customWidth="1"/>
    <col min="4353" max="4353" width="21" customWidth="1"/>
    <col min="4354" max="4354" width="9.54296875" customWidth="1"/>
    <col min="4355" max="4355" width="10.1796875" customWidth="1"/>
    <col min="4356" max="4356" width="10.7265625" customWidth="1"/>
    <col min="4357" max="4357" width="11" customWidth="1"/>
    <col min="4358" max="4358" width="10.453125" customWidth="1"/>
    <col min="4359" max="4359" width="9.54296875" customWidth="1"/>
    <col min="4360" max="4360" width="10" customWidth="1"/>
    <col min="4361" max="4361" width="11" customWidth="1"/>
    <col min="4362" max="4362" width="10.26953125" customWidth="1"/>
    <col min="4363" max="4363" width="10.81640625" customWidth="1"/>
    <col min="4364" max="4364" width="10.1796875" customWidth="1"/>
    <col min="4365" max="4365" width="10.81640625" customWidth="1"/>
    <col min="4366" max="4366" width="14.54296875" customWidth="1"/>
    <col min="4369" max="4369" width="12.26953125" customWidth="1"/>
    <col min="4609" max="4609" width="21" customWidth="1"/>
    <col min="4610" max="4610" width="9.54296875" customWidth="1"/>
    <col min="4611" max="4611" width="10.1796875" customWidth="1"/>
    <col min="4612" max="4612" width="10.7265625" customWidth="1"/>
    <col min="4613" max="4613" width="11" customWidth="1"/>
    <col min="4614" max="4614" width="10.453125" customWidth="1"/>
    <col min="4615" max="4615" width="9.54296875" customWidth="1"/>
    <col min="4616" max="4616" width="10" customWidth="1"/>
    <col min="4617" max="4617" width="11" customWidth="1"/>
    <col min="4618" max="4618" width="10.26953125" customWidth="1"/>
    <col min="4619" max="4619" width="10.81640625" customWidth="1"/>
    <col min="4620" max="4620" width="10.1796875" customWidth="1"/>
    <col min="4621" max="4621" width="10.81640625" customWidth="1"/>
    <col min="4622" max="4622" width="14.54296875" customWidth="1"/>
    <col min="4625" max="4625" width="12.26953125" customWidth="1"/>
    <col min="4865" max="4865" width="21" customWidth="1"/>
    <col min="4866" max="4866" width="9.54296875" customWidth="1"/>
    <col min="4867" max="4867" width="10.1796875" customWidth="1"/>
    <col min="4868" max="4868" width="10.7265625" customWidth="1"/>
    <col min="4869" max="4869" width="11" customWidth="1"/>
    <col min="4870" max="4870" width="10.453125" customWidth="1"/>
    <col min="4871" max="4871" width="9.54296875" customWidth="1"/>
    <col min="4872" max="4872" width="10" customWidth="1"/>
    <col min="4873" max="4873" width="11" customWidth="1"/>
    <col min="4874" max="4874" width="10.26953125" customWidth="1"/>
    <col min="4875" max="4875" width="10.81640625" customWidth="1"/>
    <col min="4876" max="4876" width="10.1796875" customWidth="1"/>
    <col min="4877" max="4877" width="10.81640625" customWidth="1"/>
    <col min="4878" max="4878" width="14.54296875" customWidth="1"/>
    <col min="4881" max="4881" width="12.26953125" customWidth="1"/>
    <col min="5121" max="5121" width="21" customWidth="1"/>
    <col min="5122" max="5122" width="9.54296875" customWidth="1"/>
    <col min="5123" max="5123" width="10.1796875" customWidth="1"/>
    <col min="5124" max="5124" width="10.7265625" customWidth="1"/>
    <col min="5125" max="5125" width="11" customWidth="1"/>
    <col min="5126" max="5126" width="10.453125" customWidth="1"/>
    <col min="5127" max="5127" width="9.54296875" customWidth="1"/>
    <col min="5128" max="5128" width="10" customWidth="1"/>
    <col min="5129" max="5129" width="11" customWidth="1"/>
    <col min="5130" max="5130" width="10.26953125" customWidth="1"/>
    <col min="5131" max="5131" width="10.81640625" customWidth="1"/>
    <col min="5132" max="5132" width="10.1796875" customWidth="1"/>
    <col min="5133" max="5133" width="10.81640625" customWidth="1"/>
    <col min="5134" max="5134" width="14.54296875" customWidth="1"/>
    <col min="5137" max="5137" width="12.26953125" customWidth="1"/>
    <col min="5377" max="5377" width="21" customWidth="1"/>
    <col min="5378" max="5378" width="9.54296875" customWidth="1"/>
    <col min="5379" max="5379" width="10.1796875" customWidth="1"/>
    <col min="5380" max="5380" width="10.7265625" customWidth="1"/>
    <col min="5381" max="5381" width="11" customWidth="1"/>
    <col min="5382" max="5382" width="10.453125" customWidth="1"/>
    <col min="5383" max="5383" width="9.54296875" customWidth="1"/>
    <col min="5384" max="5384" width="10" customWidth="1"/>
    <col min="5385" max="5385" width="11" customWidth="1"/>
    <col min="5386" max="5386" width="10.26953125" customWidth="1"/>
    <col min="5387" max="5387" width="10.81640625" customWidth="1"/>
    <col min="5388" max="5388" width="10.1796875" customWidth="1"/>
    <col min="5389" max="5389" width="10.81640625" customWidth="1"/>
    <col min="5390" max="5390" width="14.54296875" customWidth="1"/>
    <col min="5393" max="5393" width="12.26953125" customWidth="1"/>
    <col min="5633" max="5633" width="21" customWidth="1"/>
    <col min="5634" max="5634" width="9.54296875" customWidth="1"/>
    <col min="5635" max="5635" width="10.1796875" customWidth="1"/>
    <col min="5636" max="5636" width="10.7265625" customWidth="1"/>
    <col min="5637" max="5637" width="11" customWidth="1"/>
    <col min="5638" max="5638" width="10.453125" customWidth="1"/>
    <col min="5639" max="5639" width="9.54296875" customWidth="1"/>
    <col min="5640" max="5640" width="10" customWidth="1"/>
    <col min="5641" max="5641" width="11" customWidth="1"/>
    <col min="5642" max="5642" width="10.26953125" customWidth="1"/>
    <col min="5643" max="5643" width="10.81640625" customWidth="1"/>
    <col min="5644" max="5644" width="10.1796875" customWidth="1"/>
    <col min="5645" max="5645" width="10.81640625" customWidth="1"/>
    <col min="5646" max="5646" width="14.54296875" customWidth="1"/>
    <col min="5649" max="5649" width="12.26953125" customWidth="1"/>
    <col min="5889" max="5889" width="21" customWidth="1"/>
    <col min="5890" max="5890" width="9.54296875" customWidth="1"/>
    <col min="5891" max="5891" width="10.1796875" customWidth="1"/>
    <col min="5892" max="5892" width="10.7265625" customWidth="1"/>
    <col min="5893" max="5893" width="11" customWidth="1"/>
    <col min="5894" max="5894" width="10.453125" customWidth="1"/>
    <col min="5895" max="5895" width="9.54296875" customWidth="1"/>
    <col min="5896" max="5896" width="10" customWidth="1"/>
    <col min="5897" max="5897" width="11" customWidth="1"/>
    <col min="5898" max="5898" width="10.26953125" customWidth="1"/>
    <col min="5899" max="5899" width="10.81640625" customWidth="1"/>
    <col min="5900" max="5900" width="10.1796875" customWidth="1"/>
    <col min="5901" max="5901" width="10.81640625" customWidth="1"/>
    <col min="5902" max="5902" width="14.54296875" customWidth="1"/>
    <col min="5905" max="5905" width="12.26953125" customWidth="1"/>
    <col min="6145" max="6145" width="21" customWidth="1"/>
    <col min="6146" max="6146" width="9.54296875" customWidth="1"/>
    <col min="6147" max="6147" width="10.1796875" customWidth="1"/>
    <col min="6148" max="6148" width="10.7265625" customWidth="1"/>
    <col min="6149" max="6149" width="11" customWidth="1"/>
    <col min="6150" max="6150" width="10.453125" customWidth="1"/>
    <col min="6151" max="6151" width="9.54296875" customWidth="1"/>
    <col min="6152" max="6152" width="10" customWidth="1"/>
    <col min="6153" max="6153" width="11" customWidth="1"/>
    <col min="6154" max="6154" width="10.26953125" customWidth="1"/>
    <col min="6155" max="6155" width="10.81640625" customWidth="1"/>
    <col min="6156" max="6156" width="10.1796875" customWidth="1"/>
    <col min="6157" max="6157" width="10.81640625" customWidth="1"/>
    <col min="6158" max="6158" width="14.54296875" customWidth="1"/>
    <col min="6161" max="6161" width="12.26953125" customWidth="1"/>
    <col min="6401" max="6401" width="21" customWidth="1"/>
    <col min="6402" max="6402" width="9.54296875" customWidth="1"/>
    <col min="6403" max="6403" width="10.1796875" customWidth="1"/>
    <col min="6404" max="6404" width="10.7265625" customWidth="1"/>
    <col min="6405" max="6405" width="11" customWidth="1"/>
    <col min="6406" max="6406" width="10.453125" customWidth="1"/>
    <col min="6407" max="6407" width="9.54296875" customWidth="1"/>
    <col min="6408" max="6408" width="10" customWidth="1"/>
    <col min="6409" max="6409" width="11" customWidth="1"/>
    <col min="6410" max="6410" width="10.26953125" customWidth="1"/>
    <col min="6411" max="6411" width="10.81640625" customWidth="1"/>
    <col min="6412" max="6412" width="10.1796875" customWidth="1"/>
    <col min="6413" max="6413" width="10.81640625" customWidth="1"/>
    <col min="6414" max="6414" width="14.54296875" customWidth="1"/>
    <col min="6417" max="6417" width="12.26953125" customWidth="1"/>
    <col min="6657" max="6657" width="21" customWidth="1"/>
    <col min="6658" max="6658" width="9.54296875" customWidth="1"/>
    <col min="6659" max="6659" width="10.1796875" customWidth="1"/>
    <col min="6660" max="6660" width="10.7265625" customWidth="1"/>
    <col min="6661" max="6661" width="11" customWidth="1"/>
    <col min="6662" max="6662" width="10.453125" customWidth="1"/>
    <col min="6663" max="6663" width="9.54296875" customWidth="1"/>
    <col min="6664" max="6664" width="10" customWidth="1"/>
    <col min="6665" max="6665" width="11" customWidth="1"/>
    <col min="6666" max="6666" width="10.26953125" customWidth="1"/>
    <col min="6667" max="6667" width="10.81640625" customWidth="1"/>
    <col min="6668" max="6668" width="10.1796875" customWidth="1"/>
    <col min="6669" max="6669" width="10.81640625" customWidth="1"/>
    <col min="6670" max="6670" width="14.54296875" customWidth="1"/>
    <col min="6673" max="6673" width="12.26953125" customWidth="1"/>
    <col min="6913" max="6913" width="21" customWidth="1"/>
    <col min="6914" max="6914" width="9.54296875" customWidth="1"/>
    <col min="6915" max="6915" width="10.1796875" customWidth="1"/>
    <col min="6916" max="6916" width="10.7265625" customWidth="1"/>
    <col min="6917" max="6917" width="11" customWidth="1"/>
    <col min="6918" max="6918" width="10.453125" customWidth="1"/>
    <col min="6919" max="6919" width="9.54296875" customWidth="1"/>
    <col min="6920" max="6920" width="10" customWidth="1"/>
    <col min="6921" max="6921" width="11" customWidth="1"/>
    <col min="6922" max="6922" width="10.26953125" customWidth="1"/>
    <col min="6923" max="6923" width="10.81640625" customWidth="1"/>
    <col min="6924" max="6924" width="10.1796875" customWidth="1"/>
    <col min="6925" max="6925" width="10.81640625" customWidth="1"/>
    <col min="6926" max="6926" width="14.54296875" customWidth="1"/>
    <col min="6929" max="6929" width="12.26953125" customWidth="1"/>
    <col min="7169" max="7169" width="21" customWidth="1"/>
    <col min="7170" max="7170" width="9.54296875" customWidth="1"/>
    <col min="7171" max="7171" width="10.1796875" customWidth="1"/>
    <col min="7172" max="7172" width="10.7265625" customWidth="1"/>
    <col min="7173" max="7173" width="11" customWidth="1"/>
    <col min="7174" max="7174" width="10.453125" customWidth="1"/>
    <col min="7175" max="7175" width="9.54296875" customWidth="1"/>
    <col min="7176" max="7176" width="10" customWidth="1"/>
    <col min="7177" max="7177" width="11" customWidth="1"/>
    <col min="7178" max="7178" width="10.26953125" customWidth="1"/>
    <col min="7179" max="7179" width="10.81640625" customWidth="1"/>
    <col min="7180" max="7180" width="10.1796875" customWidth="1"/>
    <col min="7181" max="7181" width="10.81640625" customWidth="1"/>
    <col min="7182" max="7182" width="14.54296875" customWidth="1"/>
    <col min="7185" max="7185" width="12.26953125" customWidth="1"/>
    <col min="7425" max="7425" width="21" customWidth="1"/>
    <col min="7426" max="7426" width="9.54296875" customWidth="1"/>
    <col min="7427" max="7427" width="10.1796875" customWidth="1"/>
    <col min="7428" max="7428" width="10.7265625" customWidth="1"/>
    <col min="7429" max="7429" width="11" customWidth="1"/>
    <col min="7430" max="7430" width="10.453125" customWidth="1"/>
    <col min="7431" max="7431" width="9.54296875" customWidth="1"/>
    <col min="7432" max="7432" width="10" customWidth="1"/>
    <col min="7433" max="7433" width="11" customWidth="1"/>
    <col min="7434" max="7434" width="10.26953125" customWidth="1"/>
    <col min="7435" max="7435" width="10.81640625" customWidth="1"/>
    <col min="7436" max="7436" width="10.1796875" customWidth="1"/>
    <col min="7437" max="7437" width="10.81640625" customWidth="1"/>
    <col min="7438" max="7438" width="14.54296875" customWidth="1"/>
    <col min="7441" max="7441" width="12.26953125" customWidth="1"/>
    <col min="7681" max="7681" width="21" customWidth="1"/>
    <col min="7682" max="7682" width="9.54296875" customWidth="1"/>
    <col min="7683" max="7683" width="10.1796875" customWidth="1"/>
    <col min="7684" max="7684" width="10.7265625" customWidth="1"/>
    <col min="7685" max="7685" width="11" customWidth="1"/>
    <col min="7686" max="7686" width="10.453125" customWidth="1"/>
    <col min="7687" max="7687" width="9.54296875" customWidth="1"/>
    <col min="7688" max="7688" width="10" customWidth="1"/>
    <col min="7689" max="7689" width="11" customWidth="1"/>
    <col min="7690" max="7690" width="10.26953125" customWidth="1"/>
    <col min="7691" max="7691" width="10.81640625" customWidth="1"/>
    <col min="7692" max="7692" width="10.1796875" customWidth="1"/>
    <col min="7693" max="7693" width="10.81640625" customWidth="1"/>
    <col min="7694" max="7694" width="14.54296875" customWidth="1"/>
    <col min="7697" max="7697" width="12.26953125" customWidth="1"/>
    <col min="7937" max="7937" width="21" customWidth="1"/>
    <col min="7938" max="7938" width="9.54296875" customWidth="1"/>
    <col min="7939" max="7939" width="10.1796875" customWidth="1"/>
    <col min="7940" max="7940" width="10.7265625" customWidth="1"/>
    <col min="7941" max="7941" width="11" customWidth="1"/>
    <col min="7942" max="7942" width="10.453125" customWidth="1"/>
    <col min="7943" max="7943" width="9.54296875" customWidth="1"/>
    <col min="7944" max="7944" width="10" customWidth="1"/>
    <col min="7945" max="7945" width="11" customWidth="1"/>
    <col min="7946" max="7946" width="10.26953125" customWidth="1"/>
    <col min="7947" max="7947" width="10.81640625" customWidth="1"/>
    <col min="7948" max="7948" width="10.1796875" customWidth="1"/>
    <col min="7949" max="7949" width="10.81640625" customWidth="1"/>
    <col min="7950" max="7950" width="14.54296875" customWidth="1"/>
    <col min="7953" max="7953" width="12.26953125" customWidth="1"/>
    <col min="8193" max="8193" width="21" customWidth="1"/>
    <col min="8194" max="8194" width="9.54296875" customWidth="1"/>
    <col min="8195" max="8195" width="10.1796875" customWidth="1"/>
    <col min="8196" max="8196" width="10.7265625" customWidth="1"/>
    <col min="8197" max="8197" width="11" customWidth="1"/>
    <col min="8198" max="8198" width="10.453125" customWidth="1"/>
    <col min="8199" max="8199" width="9.54296875" customWidth="1"/>
    <col min="8200" max="8200" width="10" customWidth="1"/>
    <col min="8201" max="8201" width="11" customWidth="1"/>
    <col min="8202" max="8202" width="10.26953125" customWidth="1"/>
    <col min="8203" max="8203" width="10.81640625" customWidth="1"/>
    <col min="8204" max="8204" width="10.1796875" customWidth="1"/>
    <col min="8205" max="8205" width="10.81640625" customWidth="1"/>
    <col min="8206" max="8206" width="14.54296875" customWidth="1"/>
    <col min="8209" max="8209" width="12.26953125" customWidth="1"/>
    <col min="8449" max="8449" width="21" customWidth="1"/>
    <col min="8450" max="8450" width="9.54296875" customWidth="1"/>
    <col min="8451" max="8451" width="10.1796875" customWidth="1"/>
    <col min="8452" max="8452" width="10.7265625" customWidth="1"/>
    <col min="8453" max="8453" width="11" customWidth="1"/>
    <col min="8454" max="8454" width="10.453125" customWidth="1"/>
    <col min="8455" max="8455" width="9.54296875" customWidth="1"/>
    <col min="8456" max="8456" width="10" customWidth="1"/>
    <col min="8457" max="8457" width="11" customWidth="1"/>
    <col min="8458" max="8458" width="10.26953125" customWidth="1"/>
    <col min="8459" max="8459" width="10.81640625" customWidth="1"/>
    <col min="8460" max="8460" width="10.1796875" customWidth="1"/>
    <col min="8461" max="8461" width="10.81640625" customWidth="1"/>
    <col min="8462" max="8462" width="14.54296875" customWidth="1"/>
    <col min="8465" max="8465" width="12.26953125" customWidth="1"/>
    <col min="8705" max="8705" width="21" customWidth="1"/>
    <col min="8706" max="8706" width="9.54296875" customWidth="1"/>
    <col min="8707" max="8707" width="10.1796875" customWidth="1"/>
    <col min="8708" max="8708" width="10.7265625" customWidth="1"/>
    <col min="8709" max="8709" width="11" customWidth="1"/>
    <col min="8710" max="8710" width="10.453125" customWidth="1"/>
    <col min="8711" max="8711" width="9.54296875" customWidth="1"/>
    <col min="8712" max="8712" width="10" customWidth="1"/>
    <col min="8713" max="8713" width="11" customWidth="1"/>
    <col min="8714" max="8714" width="10.26953125" customWidth="1"/>
    <col min="8715" max="8715" width="10.81640625" customWidth="1"/>
    <col min="8716" max="8716" width="10.1796875" customWidth="1"/>
    <col min="8717" max="8717" width="10.81640625" customWidth="1"/>
    <col min="8718" max="8718" width="14.54296875" customWidth="1"/>
    <col min="8721" max="8721" width="12.26953125" customWidth="1"/>
    <col min="8961" max="8961" width="21" customWidth="1"/>
    <col min="8962" max="8962" width="9.54296875" customWidth="1"/>
    <col min="8963" max="8963" width="10.1796875" customWidth="1"/>
    <col min="8964" max="8964" width="10.7265625" customWidth="1"/>
    <col min="8965" max="8965" width="11" customWidth="1"/>
    <col min="8966" max="8966" width="10.453125" customWidth="1"/>
    <col min="8967" max="8967" width="9.54296875" customWidth="1"/>
    <col min="8968" max="8968" width="10" customWidth="1"/>
    <col min="8969" max="8969" width="11" customWidth="1"/>
    <col min="8970" max="8970" width="10.26953125" customWidth="1"/>
    <col min="8971" max="8971" width="10.81640625" customWidth="1"/>
    <col min="8972" max="8972" width="10.1796875" customWidth="1"/>
    <col min="8973" max="8973" width="10.81640625" customWidth="1"/>
    <col min="8974" max="8974" width="14.54296875" customWidth="1"/>
    <col min="8977" max="8977" width="12.26953125" customWidth="1"/>
    <col min="9217" max="9217" width="21" customWidth="1"/>
    <col min="9218" max="9218" width="9.54296875" customWidth="1"/>
    <col min="9219" max="9219" width="10.1796875" customWidth="1"/>
    <col min="9220" max="9220" width="10.7265625" customWidth="1"/>
    <col min="9221" max="9221" width="11" customWidth="1"/>
    <col min="9222" max="9222" width="10.453125" customWidth="1"/>
    <col min="9223" max="9223" width="9.54296875" customWidth="1"/>
    <col min="9224" max="9224" width="10" customWidth="1"/>
    <col min="9225" max="9225" width="11" customWidth="1"/>
    <col min="9226" max="9226" width="10.26953125" customWidth="1"/>
    <col min="9227" max="9227" width="10.81640625" customWidth="1"/>
    <col min="9228" max="9228" width="10.1796875" customWidth="1"/>
    <col min="9229" max="9229" width="10.81640625" customWidth="1"/>
    <col min="9230" max="9230" width="14.54296875" customWidth="1"/>
    <col min="9233" max="9233" width="12.26953125" customWidth="1"/>
    <col min="9473" max="9473" width="21" customWidth="1"/>
    <col min="9474" max="9474" width="9.54296875" customWidth="1"/>
    <col min="9475" max="9475" width="10.1796875" customWidth="1"/>
    <col min="9476" max="9476" width="10.7265625" customWidth="1"/>
    <col min="9477" max="9477" width="11" customWidth="1"/>
    <col min="9478" max="9478" width="10.453125" customWidth="1"/>
    <col min="9479" max="9479" width="9.54296875" customWidth="1"/>
    <col min="9480" max="9480" width="10" customWidth="1"/>
    <col min="9481" max="9481" width="11" customWidth="1"/>
    <col min="9482" max="9482" width="10.26953125" customWidth="1"/>
    <col min="9483" max="9483" width="10.81640625" customWidth="1"/>
    <col min="9484" max="9484" width="10.1796875" customWidth="1"/>
    <col min="9485" max="9485" width="10.81640625" customWidth="1"/>
    <col min="9486" max="9486" width="14.54296875" customWidth="1"/>
    <col min="9489" max="9489" width="12.26953125" customWidth="1"/>
    <col min="9729" max="9729" width="21" customWidth="1"/>
    <col min="9730" max="9730" width="9.54296875" customWidth="1"/>
    <col min="9731" max="9731" width="10.1796875" customWidth="1"/>
    <col min="9732" max="9732" width="10.7265625" customWidth="1"/>
    <col min="9733" max="9733" width="11" customWidth="1"/>
    <col min="9734" max="9734" width="10.453125" customWidth="1"/>
    <col min="9735" max="9735" width="9.54296875" customWidth="1"/>
    <col min="9736" max="9736" width="10" customWidth="1"/>
    <col min="9737" max="9737" width="11" customWidth="1"/>
    <col min="9738" max="9738" width="10.26953125" customWidth="1"/>
    <col min="9739" max="9739" width="10.81640625" customWidth="1"/>
    <col min="9740" max="9740" width="10.1796875" customWidth="1"/>
    <col min="9741" max="9741" width="10.81640625" customWidth="1"/>
    <col min="9742" max="9742" width="14.54296875" customWidth="1"/>
    <col min="9745" max="9745" width="12.26953125" customWidth="1"/>
    <col min="9985" max="9985" width="21" customWidth="1"/>
    <col min="9986" max="9986" width="9.54296875" customWidth="1"/>
    <col min="9987" max="9987" width="10.1796875" customWidth="1"/>
    <col min="9988" max="9988" width="10.7265625" customWidth="1"/>
    <col min="9989" max="9989" width="11" customWidth="1"/>
    <col min="9990" max="9990" width="10.453125" customWidth="1"/>
    <col min="9991" max="9991" width="9.54296875" customWidth="1"/>
    <col min="9992" max="9992" width="10" customWidth="1"/>
    <col min="9993" max="9993" width="11" customWidth="1"/>
    <col min="9994" max="9994" width="10.26953125" customWidth="1"/>
    <col min="9995" max="9995" width="10.81640625" customWidth="1"/>
    <col min="9996" max="9996" width="10.1796875" customWidth="1"/>
    <col min="9997" max="9997" width="10.81640625" customWidth="1"/>
    <col min="9998" max="9998" width="14.54296875" customWidth="1"/>
    <col min="10001" max="10001" width="12.26953125" customWidth="1"/>
    <col min="10241" max="10241" width="21" customWidth="1"/>
    <col min="10242" max="10242" width="9.54296875" customWidth="1"/>
    <col min="10243" max="10243" width="10.1796875" customWidth="1"/>
    <col min="10244" max="10244" width="10.7265625" customWidth="1"/>
    <col min="10245" max="10245" width="11" customWidth="1"/>
    <col min="10246" max="10246" width="10.453125" customWidth="1"/>
    <col min="10247" max="10247" width="9.54296875" customWidth="1"/>
    <col min="10248" max="10248" width="10" customWidth="1"/>
    <col min="10249" max="10249" width="11" customWidth="1"/>
    <col min="10250" max="10250" width="10.26953125" customWidth="1"/>
    <col min="10251" max="10251" width="10.81640625" customWidth="1"/>
    <col min="10252" max="10252" width="10.1796875" customWidth="1"/>
    <col min="10253" max="10253" width="10.81640625" customWidth="1"/>
    <col min="10254" max="10254" width="14.54296875" customWidth="1"/>
    <col min="10257" max="10257" width="12.26953125" customWidth="1"/>
    <col min="10497" max="10497" width="21" customWidth="1"/>
    <col min="10498" max="10498" width="9.54296875" customWidth="1"/>
    <col min="10499" max="10499" width="10.1796875" customWidth="1"/>
    <col min="10500" max="10500" width="10.7265625" customWidth="1"/>
    <col min="10501" max="10501" width="11" customWidth="1"/>
    <col min="10502" max="10502" width="10.453125" customWidth="1"/>
    <col min="10503" max="10503" width="9.54296875" customWidth="1"/>
    <col min="10504" max="10504" width="10" customWidth="1"/>
    <col min="10505" max="10505" width="11" customWidth="1"/>
    <col min="10506" max="10506" width="10.26953125" customWidth="1"/>
    <col min="10507" max="10507" width="10.81640625" customWidth="1"/>
    <col min="10508" max="10508" width="10.1796875" customWidth="1"/>
    <col min="10509" max="10509" width="10.81640625" customWidth="1"/>
    <col min="10510" max="10510" width="14.54296875" customWidth="1"/>
    <col min="10513" max="10513" width="12.26953125" customWidth="1"/>
    <col min="10753" max="10753" width="21" customWidth="1"/>
    <col min="10754" max="10754" width="9.54296875" customWidth="1"/>
    <col min="10755" max="10755" width="10.1796875" customWidth="1"/>
    <col min="10756" max="10756" width="10.7265625" customWidth="1"/>
    <col min="10757" max="10757" width="11" customWidth="1"/>
    <col min="10758" max="10758" width="10.453125" customWidth="1"/>
    <col min="10759" max="10759" width="9.54296875" customWidth="1"/>
    <col min="10760" max="10760" width="10" customWidth="1"/>
    <col min="10761" max="10761" width="11" customWidth="1"/>
    <col min="10762" max="10762" width="10.26953125" customWidth="1"/>
    <col min="10763" max="10763" width="10.81640625" customWidth="1"/>
    <col min="10764" max="10764" width="10.1796875" customWidth="1"/>
    <col min="10765" max="10765" width="10.81640625" customWidth="1"/>
    <col min="10766" max="10766" width="14.54296875" customWidth="1"/>
    <col min="10769" max="10769" width="12.26953125" customWidth="1"/>
    <col min="11009" max="11009" width="21" customWidth="1"/>
    <col min="11010" max="11010" width="9.54296875" customWidth="1"/>
    <col min="11011" max="11011" width="10.1796875" customWidth="1"/>
    <col min="11012" max="11012" width="10.7265625" customWidth="1"/>
    <col min="11013" max="11013" width="11" customWidth="1"/>
    <col min="11014" max="11014" width="10.453125" customWidth="1"/>
    <col min="11015" max="11015" width="9.54296875" customWidth="1"/>
    <col min="11016" max="11016" width="10" customWidth="1"/>
    <col min="11017" max="11017" width="11" customWidth="1"/>
    <col min="11018" max="11018" width="10.26953125" customWidth="1"/>
    <col min="11019" max="11019" width="10.81640625" customWidth="1"/>
    <col min="11020" max="11020" width="10.1796875" customWidth="1"/>
    <col min="11021" max="11021" width="10.81640625" customWidth="1"/>
    <col min="11022" max="11022" width="14.54296875" customWidth="1"/>
    <col min="11025" max="11025" width="12.26953125" customWidth="1"/>
    <col min="11265" max="11265" width="21" customWidth="1"/>
    <col min="11266" max="11266" width="9.54296875" customWidth="1"/>
    <col min="11267" max="11267" width="10.1796875" customWidth="1"/>
    <col min="11268" max="11268" width="10.7265625" customWidth="1"/>
    <col min="11269" max="11269" width="11" customWidth="1"/>
    <col min="11270" max="11270" width="10.453125" customWidth="1"/>
    <col min="11271" max="11271" width="9.54296875" customWidth="1"/>
    <col min="11272" max="11272" width="10" customWidth="1"/>
    <col min="11273" max="11273" width="11" customWidth="1"/>
    <col min="11274" max="11274" width="10.26953125" customWidth="1"/>
    <col min="11275" max="11275" width="10.81640625" customWidth="1"/>
    <col min="11276" max="11276" width="10.1796875" customWidth="1"/>
    <col min="11277" max="11277" width="10.81640625" customWidth="1"/>
    <col min="11278" max="11278" width="14.54296875" customWidth="1"/>
    <col min="11281" max="11281" width="12.26953125" customWidth="1"/>
    <col min="11521" max="11521" width="21" customWidth="1"/>
    <col min="11522" max="11522" width="9.54296875" customWidth="1"/>
    <col min="11523" max="11523" width="10.1796875" customWidth="1"/>
    <col min="11524" max="11524" width="10.7265625" customWidth="1"/>
    <col min="11525" max="11525" width="11" customWidth="1"/>
    <col min="11526" max="11526" width="10.453125" customWidth="1"/>
    <col min="11527" max="11527" width="9.54296875" customWidth="1"/>
    <col min="11528" max="11528" width="10" customWidth="1"/>
    <col min="11529" max="11529" width="11" customWidth="1"/>
    <col min="11530" max="11530" width="10.26953125" customWidth="1"/>
    <col min="11531" max="11531" width="10.81640625" customWidth="1"/>
    <col min="11532" max="11532" width="10.1796875" customWidth="1"/>
    <col min="11533" max="11533" width="10.81640625" customWidth="1"/>
    <col min="11534" max="11534" width="14.54296875" customWidth="1"/>
    <col min="11537" max="11537" width="12.26953125" customWidth="1"/>
    <col min="11777" max="11777" width="21" customWidth="1"/>
    <col min="11778" max="11778" width="9.54296875" customWidth="1"/>
    <col min="11779" max="11779" width="10.1796875" customWidth="1"/>
    <col min="11780" max="11780" width="10.7265625" customWidth="1"/>
    <col min="11781" max="11781" width="11" customWidth="1"/>
    <col min="11782" max="11782" width="10.453125" customWidth="1"/>
    <col min="11783" max="11783" width="9.54296875" customWidth="1"/>
    <col min="11784" max="11784" width="10" customWidth="1"/>
    <col min="11785" max="11785" width="11" customWidth="1"/>
    <col min="11786" max="11786" width="10.26953125" customWidth="1"/>
    <col min="11787" max="11787" width="10.81640625" customWidth="1"/>
    <col min="11788" max="11788" width="10.1796875" customWidth="1"/>
    <col min="11789" max="11789" width="10.81640625" customWidth="1"/>
    <col min="11790" max="11790" width="14.54296875" customWidth="1"/>
    <col min="11793" max="11793" width="12.26953125" customWidth="1"/>
    <col min="12033" max="12033" width="21" customWidth="1"/>
    <col min="12034" max="12034" width="9.54296875" customWidth="1"/>
    <col min="12035" max="12035" width="10.1796875" customWidth="1"/>
    <col min="12036" max="12036" width="10.7265625" customWidth="1"/>
    <col min="12037" max="12037" width="11" customWidth="1"/>
    <col min="12038" max="12038" width="10.453125" customWidth="1"/>
    <col min="12039" max="12039" width="9.54296875" customWidth="1"/>
    <col min="12040" max="12040" width="10" customWidth="1"/>
    <col min="12041" max="12041" width="11" customWidth="1"/>
    <col min="12042" max="12042" width="10.26953125" customWidth="1"/>
    <col min="12043" max="12043" width="10.81640625" customWidth="1"/>
    <col min="12044" max="12044" width="10.1796875" customWidth="1"/>
    <col min="12045" max="12045" width="10.81640625" customWidth="1"/>
    <col min="12046" max="12046" width="14.54296875" customWidth="1"/>
    <col min="12049" max="12049" width="12.26953125" customWidth="1"/>
    <col min="12289" max="12289" width="21" customWidth="1"/>
    <col min="12290" max="12290" width="9.54296875" customWidth="1"/>
    <col min="12291" max="12291" width="10.1796875" customWidth="1"/>
    <col min="12292" max="12292" width="10.7265625" customWidth="1"/>
    <col min="12293" max="12293" width="11" customWidth="1"/>
    <col min="12294" max="12294" width="10.453125" customWidth="1"/>
    <col min="12295" max="12295" width="9.54296875" customWidth="1"/>
    <col min="12296" max="12296" width="10" customWidth="1"/>
    <col min="12297" max="12297" width="11" customWidth="1"/>
    <col min="12298" max="12298" width="10.26953125" customWidth="1"/>
    <col min="12299" max="12299" width="10.81640625" customWidth="1"/>
    <col min="12300" max="12300" width="10.1796875" customWidth="1"/>
    <col min="12301" max="12301" width="10.81640625" customWidth="1"/>
    <col min="12302" max="12302" width="14.54296875" customWidth="1"/>
    <col min="12305" max="12305" width="12.26953125" customWidth="1"/>
    <col min="12545" max="12545" width="21" customWidth="1"/>
    <col min="12546" max="12546" width="9.54296875" customWidth="1"/>
    <col min="12547" max="12547" width="10.1796875" customWidth="1"/>
    <col min="12548" max="12548" width="10.7265625" customWidth="1"/>
    <col min="12549" max="12549" width="11" customWidth="1"/>
    <col min="12550" max="12550" width="10.453125" customWidth="1"/>
    <col min="12551" max="12551" width="9.54296875" customWidth="1"/>
    <col min="12552" max="12552" width="10" customWidth="1"/>
    <col min="12553" max="12553" width="11" customWidth="1"/>
    <col min="12554" max="12554" width="10.26953125" customWidth="1"/>
    <col min="12555" max="12555" width="10.81640625" customWidth="1"/>
    <col min="12556" max="12556" width="10.1796875" customWidth="1"/>
    <col min="12557" max="12557" width="10.81640625" customWidth="1"/>
    <col min="12558" max="12558" width="14.54296875" customWidth="1"/>
    <col min="12561" max="12561" width="12.26953125" customWidth="1"/>
    <col min="12801" max="12801" width="21" customWidth="1"/>
    <col min="12802" max="12802" width="9.54296875" customWidth="1"/>
    <col min="12803" max="12803" width="10.1796875" customWidth="1"/>
    <col min="12804" max="12804" width="10.7265625" customWidth="1"/>
    <col min="12805" max="12805" width="11" customWidth="1"/>
    <col min="12806" max="12806" width="10.453125" customWidth="1"/>
    <col min="12807" max="12807" width="9.54296875" customWidth="1"/>
    <col min="12808" max="12808" width="10" customWidth="1"/>
    <col min="12809" max="12809" width="11" customWidth="1"/>
    <col min="12810" max="12810" width="10.26953125" customWidth="1"/>
    <col min="12811" max="12811" width="10.81640625" customWidth="1"/>
    <col min="12812" max="12812" width="10.1796875" customWidth="1"/>
    <col min="12813" max="12813" width="10.81640625" customWidth="1"/>
    <col min="12814" max="12814" width="14.54296875" customWidth="1"/>
    <col min="12817" max="12817" width="12.26953125" customWidth="1"/>
    <col min="13057" max="13057" width="21" customWidth="1"/>
    <col min="13058" max="13058" width="9.54296875" customWidth="1"/>
    <col min="13059" max="13059" width="10.1796875" customWidth="1"/>
    <col min="13060" max="13060" width="10.7265625" customWidth="1"/>
    <col min="13061" max="13061" width="11" customWidth="1"/>
    <col min="13062" max="13062" width="10.453125" customWidth="1"/>
    <col min="13063" max="13063" width="9.54296875" customWidth="1"/>
    <col min="13064" max="13064" width="10" customWidth="1"/>
    <col min="13065" max="13065" width="11" customWidth="1"/>
    <col min="13066" max="13066" width="10.26953125" customWidth="1"/>
    <col min="13067" max="13067" width="10.81640625" customWidth="1"/>
    <col min="13068" max="13068" width="10.1796875" customWidth="1"/>
    <col min="13069" max="13069" width="10.81640625" customWidth="1"/>
    <col min="13070" max="13070" width="14.54296875" customWidth="1"/>
    <col min="13073" max="13073" width="12.26953125" customWidth="1"/>
    <col min="13313" max="13313" width="21" customWidth="1"/>
    <col min="13314" max="13314" width="9.54296875" customWidth="1"/>
    <col min="13315" max="13315" width="10.1796875" customWidth="1"/>
    <col min="13316" max="13316" width="10.7265625" customWidth="1"/>
    <col min="13317" max="13317" width="11" customWidth="1"/>
    <col min="13318" max="13318" width="10.453125" customWidth="1"/>
    <col min="13319" max="13319" width="9.54296875" customWidth="1"/>
    <col min="13320" max="13320" width="10" customWidth="1"/>
    <col min="13321" max="13321" width="11" customWidth="1"/>
    <col min="13322" max="13322" width="10.26953125" customWidth="1"/>
    <col min="13323" max="13323" width="10.81640625" customWidth="1"/>
    <col min="13324" max="13324" width="10.1796875" customWidth="1"/>
    <col min="13325" max="13325" width="10.81640625" customWidth="1"/>
    <col min="13326" max="13326" width="14.54296875" customWidth="1"/>
    <col min="13329" max="13329" width="12.26953125" customWidth="1"/>
    <col min="13569" max="13569" width="21" customWidth="1"/>
    <col min="13570" max="13570" width="9.54296875" customWidth="1"/>
    <col min="13571" max="13571" width="10.1796875" customWidth="1"/>
    <col min="13572" max="13572" width="10.7265625" customWidth="1"/>
    <col min="13573" max="13573" width="11" customWidth="1"/>
    <col min="13574" max="13574" width="10.453125" customWidth="1"/>
    <col min="13575" max="13575" width="9.54296875" customWidth="1"/>
    <col min="13576" max="13576" width="10" customWidth="1"/>
    <col min="13577" max="13577" width="11" customWidth="1"/>
    <col min="13578" max="13578" width="10.26953125" customWidth="1"/>
    <col min="13579" max="13579" width="10.81640625" customWidth="1"/>
    <col min="13580" max="13580" width="10.1796875" customWidth="1"/>
    <col min="13581" max="13581" width="10.81640625" customWidth="1"/>
    <col min="13582" max="13582" width="14.54296875" customWidth="1"/>
    <col min="13585" max="13585" width="12.26953125" customWidth="1"/>
    <col min="13825" max="13825" width="21" customWidth="1"/>
    <col min="13826" max="13826" width="9.54296875" customWidth="1"/>
    <col min="13827" max="13827" width="10.1796875" customWidth="1"/>
    <col min="13828" max="13828" width="10.7265625" customWidth="1"/>
    <col min="13829" max="13829" width="11" customWidth="1"/>
    <col min="13830" max="13830" width="10.453125" customWidth="1"/>
    <col min="13831" max="13831" width="9.54296875" customWidth="1"/>
    <col min="13832" max="13832" width="10" customWidth="1"/>
    <col min="13833" max="13833" width="11" customWidth="1"/>
    <col min="13834" max="13834" width="10.26953125" customWidth="1"/>
    <col min="13835" max="13835" width="10.81640625" customWidth="1"/>
    <col min="13836" max="13836" width="10.1796875" customWidth="1"/>
    <col min="13837" max="13837" width="10.81640625" customWidth="1"/>
    <col min="13838" max="13838" width="14.54296875" customWidth="1"/>
    <col min="13841" max="13841" width="12.26953125" customWidth="1"/>
    <col min="14081" max="14081" width="21" customWidth="1"/>
    <col min="14082" max="14082" width="9.54296875" customWidth="1"/>
    <col min="14083" max="14083" width="10.1796875" customWidth="1"/>
    <col min="14084" max="14084" width="10.7265625" customWidth="1"/>
    <col min="14085" max="14085" width="11" customWidth="1"/>
    <col min="14086" max="14086" width="10.453125" customWidth="1"/>
    <col min="14087" max="14087" width="9.54296875" customWidth="1"/>
    <col min="14088" max="14088" width="10" customWidth="1"/>
    <col min="14089" max="14089" width="11" customWidth="1"/>
    <col min="14090" max="14090" width="10.26953125" customWidth="1"/>
    <col min="14091" max="14091" width="10.81640625" customWidth="1"/>
    <col min="14092" max="14092" width="10.1796875" customWidth="1"/>
    <col min="14093" max="14093" width="10.81640625" customWidth="1"/>
    <col min="14094" max="14094" width="14.54296875" customWidth="1"/>
    <col min="14097" max="14097" width="12.26953125" customWidth="1"/>
    <col min="14337" max="14337" width="21" customWidth="1"/>
    <col min="14338" max="14338" width="9.54296875" customWidth="1"/>
    <col min="14339" max="14339" width="10.1796875" customWidth="1"/>
    <col min="14340" max="14340" width="10.7265625" customWidth="1"/>
    <col min="14341" max="14341" width="11" customWidth="1"/>
    <col min="14342" max="14342" width="10.453125" customWidth="1"/>
    <col min="14343" max="14343" width="9.54296875" customWidth="1"/>
    <col min="14344" max="14344" width="10" customWidth="1"/>
    <col min="14345" max="14345" width="11" customWidth="1"/>
    <col min="14346" max="14346" width="10.26953125" customWidth="1"/>
    <col min="14347" max="14347" width="10.81640625" customWidth="1"/>
    <col min="14348" max="14348" width="10.1796875" customWidth="1"/>
    <col min="14349" max="14349" width="10.81640625" customWidth="1"/>
    <col min="14350" max="14350" width="14.54296875" customWidth="1"/>
    <col min="14353" max="14353" width="12.26953125" customWidth="1"/>
    <col min="14593" max="14593" width="21" customWidth="1"/>
    <col min="14594" max="14594" width="9.54296875" customWidth="1"/>
    <col min="14595" max="14595" width="10.1796875" customWidth="1"/>
    <col min="14596" max="14596" width="10.7265625" customWidth="1"/>
    <col min="14597" max="14597" width="11" customWidth="1"/>
    <col min="14598" max="14598" width="10.453125" customWidth="1"/>
    <col min="14599" max="14599" width="9.54296875" customWidth="1"/>
    <col min="14600" max="14600" width="10" customWidth="1"/>
    <col min="14601" max="14601" width="11" customWidth="1"/>
    <col min="14602" max="14602" width="10.26953125" customWidth="1"/>
    <col min="14603" max="14603" width="10.81640625" customWidth="1"/>
    <col min="14604" max="14604" width="10.1796875" customWidth="1"/>
    <col min="14605" max="14605" width="10.81640625" customWidth="1"/>
    <col min="14606" max="14606" width="14.54296875" customWidth="1"/>
    <col min="14609" max="14609" width="12.26953125" customWidth="1"/>
    <col min="14849" max="14849" width="21" customWidth="1"/>
    <col min="14850" max="14850" width="9.54296875" customWidth="1"/>
    <col min="14851" max="14851" width="10.1796875" customWidth="1"/>
    <col min="14852" max="14852" width="10.7265625" customWidth="1"/>
    <col min="14853" max="14853" width="11" customWidth="1"/>
    <col min="14854" max="14854" width="10.453125" customWidth="1"/>
    <col min="14855" max="14855" width="9.54296875" customWidth="1"/>
    <col min="14856" max="14856" width="10" customWidth="1"/>
    <col min="14857" max="14857" width="11" customWidth="1"/>
    <col min="14858" max="14858" width="10.26953125" customWidth="1"/>
    <col min="14859" max="14859" width="10.81640625" customWidth="1"/>
    <col min="14860" max="14860" width="10.1796875" customWidth="1"/>
    <col min="14861" max="14861" width="10.81640625" customWidth="1"/>
    <col min="14862" max="14862" width="14.54296875" customWidth="1"/>
    <col min="14865" max="14865" width="12.26953125" customWidth="1"/>
    <col min="15105" max="15105" width="21" customWidth="1"/>
    <col min="15106" max="15106" width="9.54296875" customWidth="1"/>
    <col min="15107" max="15107" width="10.1796875" customWidth="1"/>
    <col min="15108" max="15108" width="10.7265625" customWidth="1"/>
    <col min="15109" max="15109" width="11" customWidth="1"/>
    <col min="15110" max="15110" width="10.453125" customWidth="1"/>
    <col min="15111" max="15111" width="9.54296875" customWidth="1"/>
    <col min="15112" max="15112" width="10" customWidth="1"/>
    <col min="15113" max="15113" width="11" customWidth="1"/>
    <col min="15114" max="15114" width="10.26953125" customWidth="1"/>
    <col min="15115" max="15115" width="10.81640625" customWidth="1"/>
    <col min="15116" max="15116" width="10.1796875" customWidth="1"/>
    <col min="15117" max="15117" width="10.81640625" customWidth="1"/>
    <col min="15118" max="15118" width="14.54296875" customWidth="1"/>
    <col min="15121" max="15121" width="12.26953125" customWidth="1"/>
    <col min="15361" max="15361" width="21" customWidth="1"/>
    <col min="15362" max="15362" width="9.54296875" customWidth="1"/>
    <col min="15363" max="15363" width="10.1796875" customWidth="1"/>
    <col min="15364" max="15364" width="10.7265625" customWidth="1"/>
    <col min="15365" max="15365" width="11" customWidth="1"/>
    <col min="15366" max="15366" width="10.453125" customWidth="1"/>
    <col min="15367" max="15367" width="9.54296875" customWidth="1"/>
    <col min="15368" max="15368" width="10" customWidth="1"/>
    <col min="15369" max="15369" width="11" customWidth="1"/>
    <col min="15370" max="15370" width="10.26953125" customWidth="1"/>
    <col min="15371" max="15371" width="10.81640625" customWidth="1"/>
    <col min="15372" max="15372" width="10.1796875" customWidth="1"/>
    <col min="15373" max="15373" width="10.81640625" customWidth="1"/>
    <col min="15374" max="15374" width="14.54296875" customWidth="1"/>
    <col min="15377" max="15377" width="12.26953125" customWidth="1"/>
    <col min="15617" max="15617" width="21" customWidth="1"/>
    <col min="15618" max="15618" width="9.54296875" customWidth="1"/>
    <col min="15619" max="15619" width="10.1796875" customWidth="1"/>
    <col min="15620" max="15620" width="10.7265625" customWidth="1"/>
    <col min="15621" max="15621" width="11" customWidth="1"/>
    <col min="15622" max="15622" width="10.453125" customWidth="1"/>
    <col min="15623" max="15623" width="9.54296875" customWidth="1"/>
    <col min="15624" max="15624" width="10" customWidth="1"/>
    <col min="15625" max="15625" width="11" customWidth="1"/>
    <col min="15626" max="15626" width="10.26953125" customWidth="1"/>
    <col min="15627" max="15627" width="10.81640625" customWidth="1"/>
    <col min="15628" max="15628" width="10.1796875" customWidth="1"/>
    <col min="15629" max="15629" width="10.81640625" customWidth="1"/>
    <col min="15630" max="15630" width="14.54296875" customWidth="1"/>
    <col min="15633" max="15633" width="12.26953125" customWidth="1"/>
    <col min="15873" max="15873" width="21" customWidth="1"/>
    <col min="15874" max="15874" width="9.54296875" customWidth="1"/>
    <col min="15875" max="15875" width="10.1796875" customWidth="1"/>
    <col min="15876" max="15876" width="10.7265625" customWidth="1"/>
    <col min="15877" max="15877" width="11" customWidth="1"/>
    <col min="15878" max="15878" width="10.453125" customWidth="1"/>
    <col min="15879" max="15879" width="9.54296875" customWidth="1"/>
    <col min="15880" max="15880" width="10" customWidth="1"/>
    <col min="15881" max="15881" width="11" customWidth="1"/>
    <col min="15882" max="15882" width="10.26953125" customWidth="1"/>
    <col min="15883" max="15883" width="10.81640625" customWidth="1"/>
    <col min="15884" max="15884" width="10.1796875" customWidth="1"/>
    <col min="15885" max="15885" width="10.81640625" customWidth="1"/>
    <col min="15886" max="15886" width="14.54296875" customWidth="1"/>
    <col min="15889" max="15889" width="12.26953125" customWidth="1"/>
    <col min="16129" max="16129" width="21" customWidth="1"/>
    <col min="16130" max="16130" width="9.54296875" customWidth="1"/>
    <col min="16131" max="16131" width="10.1796875" customWidth="1"/>
    <col min="16132" max="16132" width="10.7265625" customWidth="1"/>
    <col min="16133" max="16133" width="11" customWidth="1"/>
    <col min="16134" max="16134" width="10.453125" customWidth="1"/>
    <col min="16135" max="16135" width="9.54296875" customWidth="1"/>
    <col min="16136" max="16136" width="10" customWidth="1"/>
    <col min="16137" max="16137" width="11" customWidth="1"/>
    <col min="16138" max="16138" width="10.26953125" customWidth="1"/>
    <col min="16139" max="16139" width="10.81640625" customWidth="1"/>
    <col min="16140" max="16140" width="10.1796875" customWidth="1"/>
    <col min="16141" max="16141" width="10.81640625" customWidth="1"/>
    <col min="16142" max="16142" width="14.54296875" customWidth="1"/>
    <col min="16145" max="16145" width="12.26953125" customWidth="1"/>
  </cols>
  <sheetData>
    <row r="1" spans="1:2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1" ht="18.75" customHeight="1" x14ac:dyDescent="0.35">
      <c r="A2" s="2"/>
      <c r="B2" s="2"/>
      <c r="C2" s="19" t="s">
        <v>0</v>
      </c>
      <c r="D2" s="19"/>
      <c r="E2" s="19"/>
      <c r="F2" s="19"/>
      <c r="G2" s="19"/>
      <c r="H2" s="19"/>
      <c r="I2" s="1"/>
      <c r="J2" s="1"/>
      <c r="K2" s="1"/>
      <c r="L2" s="1"/>
      <c r="M2" s="1"/>
      <c r="N2" s="1"/>
    </row>
    <row r="3" spans="1:21" ht="18.75" customHeight="1" x14ac:dyDescent="0.35">
      <c r="A3" s="2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1" ht="18.75" customHeight="1" x14ac:dyDescent="0.35">
      <c r="A4" s="2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1" ht="18.75" customHeight="1" x14ac:dyDescent="0.35">
      <c r="A5" s="2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1" ht="18.75" customHeight="1" x14ac:dyDescent="0.35">
      <c r="A6" s="2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1" ht="18.75" customHeight="1" x14ac:dyDescent="0.35">
      <c r="A7" s="3" t="s">
        <v>38</v>
      </c>
      <c r="B7" s="4"/>
      <c r="C7" s="4"/>
      <c r="D7" s="4"/>
      <c r="E7" s="4"/>
      <c r="F7" s="4"/>
      <c r="G7" s="4"/>
      <c r="H7" s="4"/>
      <c r="I7" s="5" t="s">
        <v>1</v>
      </c>
      <c r="J7" s="5"/>
      <c r="K7" s="5"/>
      <c r="L7" s="5"/>
      <c r="M7" s="5"/>
      <c r="N7" s="5"/>
    </row>
    <row r="8" spans="1:21" ht="17.5" x14ac:dyDescent="0.35">
      <c r="A8" s="6" t="s">
        <v>16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</row>
    <row r="9" spans="1:21" ht="17.25" customHeight="1" x14ac:dyDescent="0.35">
      <c r="A9" s="9" t="s">
        <v>17</v>
      </c>
      <c r="B9" s="20" t="s">
        <v>2</v>
      </c>
      <c r="C9" s="20" t="s">
        <v>3</v>
      </c>
      <c r="D9" s="20" t="s">
        <v>4</v>
      </c>
      <c r="E9" s="20" t="s">
        <v>5</v>
      </c>
      <c r="F9" s="20" t="s">
        <v>6</v>
      </c>
      <c r="G9" s="20" t="s">
        <v>7</v>
      </c>
      <c r="H9" s="20" t="s">
        <v>8</v>
      </c>
      <c r="I9" s="20" t="s">
        <v>9</v>
      </c>
      <c r="J9" s="20" t="s">
        <v>10</v>
      </c>
      <c r="K9" s="20" t="s">
        <v>11</v>
      </c>
      <c r="L9" s="20" t="s">
        <v>12</v>
      </c>
      <c r="M9" s="20" t="s">
        <v>13</v>
      </c>
      <c r="N9" s="20" t="s">
        <v>14</v>
      </c>
    </row>
    <row r="10" spans="1:21" ht="17.25" customHeight="1" x14ac:dyDescent="0.35">
      <c r="A10" s="11" t="s">
        <v>18</v>
      </c>
      <c r="B10" s="12">
        <v>1037.6243877350012</v>
      </c>
      <c r="C10" s="12">
        <v>1074.2588050720003</v>
      </c>
      <c r="D10" s="12">
        <v>1077.8883045420005</v>
      </c>
      <c r="E10" s="12">
        <v>1096.8638641079997</v>
      </c>
      <c r="F10" s="12">
        <v>1047.0928763059999</v>
      </c>
      <c r="G10" s="12">
        <v>1002.2540500709999</v>
      </c>
      <c r="H10" s="12">
        <v>1039.5031271199998</v>
      </c>
      <c r="I10" s="12">
        <v>1025.4387110020002</v>
      </c>
      <c r="J10" s="12">
        <v>1123.2828967809999</v>
      </c>
      <c r="K10" s="12">
        <v>1183.2982468839996</v>
      </c>
      <c r="L10" s="12">
        <v>1008.6677434070002</v>
      </c>
      <c r="M10" s="12">
        <v>1071.6291472920002</v>
      </c>
      <c r="N10" s="12">
        <f>SUM(B10:M10)</f>
        <v>12787.802160320003</v>
      </c>
      <c r="R10" s="25"/>
      <c r="U10" s="25"/>
    </row>
    <row r="11" spans="1:21" ht="15" customHeight="1" x14ac:dyDescent="0.35">
      <c r="A11" s="11" t="s">
        <v>19</v>
      </c>
      <c r="B11" s="12">
        <v>1535.2139723219996</v>
      </c>
      <c r="C11" s="12">
        <v>1565.033853463</v>
      </c>
      <c r="D11" s="12">
        <v>1458.2247429659999</v>
      </c>
      <c r="E11" s="12">
        <v>1738.5930818259997</v>
      </c>
      <c r="F11" s="12">
        <v>1458.3933711309999</v>
      </c>
      <c r="G11" s="12">
        <v>1442.9305078429998</v>
      </c>
      <c r="H11" s="12">
        <v>1505.6000689359998</v>
      </c>
      <c r="I11" s="12">
        <v>1408.3650145669999</v>
      </c>
      <c r="J11" s="12">
        <v>1525.8866858169999</v>
      </c>
      <c r="K11" s="12">
        <v>1527.0071459830001</v>
      </c>
      <c r="L11" s="12">
        <v>1284.1296559899999</v>
      </c>
      <c r="M11" s="12">
        <v>1475.029272812</v>
      </c>
      <c r="N11" s="26">
        <f t="shared" ref="N11:N24" si="0">SUM(B11:M11)</f>
        <v>17924.407373655999</v>
      </c>
      <c r="R11" s="25"/>
      <c r="U11" s="25"/>
    </row>
    <row r="12" spans="1:21" x14ac:dyDescent="0.35">
      <c r="A12" s="11" t="s">
        <v>20</v>
      </c>
      <c r="B12" s="12">
        <v>3165.9554818395422</v>
      </c>
      <c r="C12" s="12">
        <v>3595.635526848971</v>
      </c>
      <c r="D12" s="12">
        <v>3353.095356809979</v>
      </c>
      <c r="E12" s="12">
        <v>3303.0290601445618</v>
      </c>
      <c r="F12" s="12">
        <v>3459.9882082697604</v>
      </c>
      <c r="G12" s="12">
        <v>3319.8634667724432</v>
      </c>
      <c r="H12" s="12">
        <v>3283.558268693766</v>
      </c>
      <c r="I12" s="12">
        <v>3578.840184195155</v>
      </c>
      <c r="J12" s="12">
        <v>3814.5156556726301</v>
      </c>
      <c r="K12" s="12">
        <v>3775.9998170888302</v>
      </c>
      <c r="L12" s="12">
        <v>3631.2331463429196</v>
      </c>
      <c r="M12" s="12">
        <v>3897.2578383950945</v>
      </c>
      <c r="N12" s="12">
        <f t="shared" si="0"/>
        <v>42178.97201107366</v>
      </c>
      <c r="R12" s="25"/>
      <c r="U12" s="25"/>
    </row>
    <row r="13" spans="1:21" x14ac:dyDescent="0.35">
      <c r="A13" s="11" t="s">
        <v>21</v>
      </c>
      <c r="B13" s="12">
        <v>491.89336905699929</v>
      </c>
      <c r="C13" s="12">
        <v>531.32320846299967</v>
      </c>
      <c r="D13" s="12">
        <v>495.31370776899996</v>
      </c>
      <c r="E13" s="12">
        <v>513.16520860800028</v>
      </c>
      <c r="F13" s="12">
        <v>525.12249367299955</v>
      </c>
      <c r="G13" s="12">
        <v>534.53719938299969</v>
      </c>
      <c r="H13" s="12">
        <v>580.94975491500009</v>
      </c>
      <c r="I13" s="12">
        <v>408.78963050599958</v>
      </c>
      <c r="J13" s="12">
        <v>563.17246009500013</v>
      </c>
      <c r="K13" s="12">
        <v>471.59354500800077</v>
      </c>
      <c r="L13" s="12">
        <v>433.60498293399894</v>
      </c>
      <c r="M13" s="12">
        <v>536.15136532200017</v>
      </c>
      <c r="N13" s="12">
        <f t="shared" si="0"/>
        <v>6085.6169257329975</v>
      </c>
      <c r="R13" s="25"/>
      <c r="U13" s="25"/>
    </row>
    <row r="14" spans="1:21" ht="18" customHeight="1" x14ac:dyDescent="0.35">
      <c r="A14" s="12" t="s">
        <v>22</v>
      </c>
      <c r="B14" s="12">
        <v>1456.0190370089999</v>
      </c>
      <c r="C14" s="12">
        <v>1527.7661843750002</v>
      </c>
      <c r="D14" s="12">
        <v>1407.7295214660001</v>
      </c>
      <c r="E14" s="12">
        <v>1474.8528053199996</v>
      </c>
      <c r="F14" s="12">
        <v>1419.3237078730006</v>
      </c>
      <c r="G14" s="12">
        <v>1518.0190262777</v>
      </c>
      <c r="H14" s="12">
        <v>1518.1270993292999</v>
      </c>
      <c r="I14" s="12">
        <v>1555.3619276920001</v>
      </c>
      <c r="J14" s="12">
        <v>1660.155677731</v>
      </c>
      <c r="K14" s="12">
        <v>1424.5807493110001</v>
      </c>
      <c r="L14" s="12">
        <v>1303.3394578320001</v>
      </c>
      <c r="M14" s="12">
        <v>1489.2525457919999</v>
      </c>
      <c r="N14" s="12">
        <f t="shared" si="0"/>
        <v>17754.527740008001</v>
      </c>
      <c r="R14" s="25"/>
      <c r="U14" s="25"/>
    </row>
    <row r="15" spans="1:21" ht="15" customHeight="1" x14ac:dyDescent="0.35">
      <c r="A15" s="11" t="s">
        <v>23</v>
      </c>
      <c r="B15" s="12">
        <v>104.616465202</v>
      </c>
      <c r="C15" s="12">
        <v>45.543465170999987</v>
      </c>
      <c r="D15" s="12">
        <v>120.26037679800001</v>
      </c>
      <c r="E15" s="12">
        <v>75.583546856999988</v>
      </c>
      <c r="F15" s="12">
        <v>101.238822857</v>
      </c>
      <c r="G15" s="12">
        <v>75.004852678700004</v>
      </c>
      <c r="H15" s="12">
        <v>76.993965061300003</v>
      </c>
      <c r="I15" s="12">
        <v>98.109770309999988</v>
      </c>
      <c r="J15" s="12">
        <v>86.760852310999994</v>
      </c>
      <c r="K15" s="12">
        <v>87.427262609999985</v>
      </c>
      <c r="L15" s="12">
        <v>71.731057918000005</v>
      </c>
      <c r="M15" s="12">
        <v>65.216004778999974</v>
      </c>
      <c r="N15" s="12">
        <f t="shared" si="0"/>
        <v>1008.486442553</v>
      </c>
      <c r="R15" s="25"/>
      <c r="U15" s="25"/>
    </row>
    <row r="16" spans="1:21" ht="17.25" customHeight="1" x14ac:dyDescent="0.35">
      <c r="A16" s="11" t="s">
        <v>24</v>
      </c>
      <c r="B16" s="12">
        <v>7835.842697517608</v>
      </c>
      <c r="C16" s="12">
        <v>8097.3784256719737</v>
      </c>
      <c r="D16" s="12">
        <v>7525.9767660250345</v>
      </c>
      <c r="E16" s="12">
        <v>8180.1021894534179</v>
      </c>
      <c r="F16" s="12">
        <v>7118.6159731426505</v>
      </c>
      <c r="G16" s="12">
        <v>6545.7503443460137</v>
      </c>
      <c r="H16" s="12">
        <v>7198.1288312828483</v>
      </c>
      <c r="I16" s="12">
        <v>7562.6130636421631</v>
      </c>
      <c r="J16" s="12">
        <v>8286.6732022409196</v>
      </c>
      <c r="K16" s="12">
        <v>8294.091411372865</v>
      </c>
      <c r="L16" s="12">
        <v>7372.5936545431341</v>
      </c>
      <c r="M16" s="12">
        <v>8152.6410657857796</v>
      </c>
      <c r="N16" s="12">
        <f>SUM(B16:M16)</f>
        <v>92170.407625024396</v>
      </c>
      <c r="R16" s="25"/>
      <c r="U16" s="25"/>
    </row>
    <row r="17" spans="1:21" x14ac:dyDescent="0.35">
      <c r="A17" s="11" t="s">
        <v>25</v>
      </c>
      <c r="B17" s="12">
        <v>1961.3370264765908</v>
      </c>
      <c r="C17" s="12">
        <v>1907.8931191740003</v>
      </c>
      <c r="D17" s="12">
        <v>1803.5070950430013</v>
      </c>
      <c r="E17" s="12">
        <v>2208.7420775790001</v>
      </c>
      <c r="F17" s="12">
        <v>2039.369794423</v>
      </c>
      <c r="G17" s="12">
        <v>2441.4581428410002</v>
      </c>
      <c r="H17" s="12">
        <v>2228.5473668600002</v>
      </c>
      <c r="I17" s="12">
        <v>2109.163168603</v>
      </c>
      <c r="J17" s="12">
        <v>2278.0282409239999</v>
      </c>
      <c r="K17" s="12">
        <v>2476.5273915700004</v>
      </c>
      <c r="L17" s="12">
        <v>2193.2436302249998</v>
      </c>
      <c r="M17" s="12">
        <v>2402.9411832369997</v>
      </c>
      <c r="N17" s="12">
        <f t="shared" si="0"/>
        <v>26050.758236955593</v>
      </c>
      <c r="R17" s="25"/>
      <c r="U17" s="25"/>
    </row>
    <row r="18" spans="1:21" ht="15" customHeight="1" x14ac:dyDescent="0.35">
      <c r="A18" s="11" t="s">
        <v>26</v>
      </c>
      <c r="B18" s="12">
        <v>28.229205268000001</v>
      </c>
      <c r="C18" s="12">
        <v>50.334572029</v>
      </c>
      <c r="D18" s="12">
        <v>48.844880940000003</v>
      </c>
      <c r="E18" s="12">
        <v>40.094319766000005</v>
      </c>
      <c r="F18" s="12">
        <v>48.210744990000002</v>
      </c>
      <c r="G18" s="12">
        <v>80.443741633999991</v>
      </c>
      <c r="H18" s="12">
        <v>62.783113895999996</v>
      </c>
      <c r="I18" s="12">
        <v>59.455961508999998</v>
      </c>
      <c r="J18" s="12">
        <v>57.370702623000007</v>
      </c>
      <c r="K18" s="12">
        <v>42.409723688</v>
      </c>
      <c r="L18" s="12">
        <v>48.005139108999991</v>
      </c>
      <c r="M18" s="12">
        <v>65.614814628999994</v>
      </c>
      <c r="N18" s="12">
        <f t="shared" si="0"/>
        <v>631.79692008099994</v>
      </c>
      <c r="R18" s="25"/>
      <c r="U18" s="25"/>
    </row>
    <row r="19" spans="1:21" x14ac:dyDescent="0.35">
      <c r="A19" s="11" t="s">
        <v>27</v>
      </c>
      <c r="B19" s="12">
        <v>99.755957080000002</v>
      </c>
      <c r="C19" s="12">
        <v>125.319633591</v>
      </c>
      <c r="D19" s="12">
        <v>112.84772909899999</v>
      </c>
      <c r="E19" s="12">
        <v>75.029346000000004</v>
      </c>
      <c r="F19" s="12">
        <v>106.38594252499999</v>
      </c>
      <c r="G19" s="12">
        <v>88.616937931999999</v>
      </c>
      <c r="H19" s="12">
        <v>89.836504175000002</v>
      </c>
      <c r="I19" s="12">
        <v>122.74817634600001</v>
      </c>
      <c r="J19" s="12">
        <v>128.850139781</v>
      </c>
      <c r="K19" s="12">
        <v>125.24061028599999</v>
      </c>
      <c r="L19" s="12">
        <v>98.603546252000001</v>
      </c>
      <c r="M19" s="12">
        <v>126.447656272</v>
      </c>
      <c r="N19" s="12">
        <f t="shared" si="0"/>
        <v>1299.6821793389997</v>
      </c>
      <c r="R19" s="25"/>
      <c r="U19" s="25"/>
    </row>
    <row r="20" spans="1:21" ht="20.25" customHeight="1" x14ac:dyDescent="0.35">
      <c r="A20" s="11" t="s">
        <v>28</v>
      </c>
      <c r="B20" s="12">
        <v>857.33257908999985</v>
      </c>
      <c r="C20" s="12">
        <v>899.680656441</v>
      </c>
      <c r="D20" s="12">
        <v>810.29993166300005</v>
      </c>
      <c r="E20" s="12">
        <v>1021.5177555560001</v>
      </c>
      <c r="F20" s="12">
        <v>1008.5000000980001</v>
      </c>
      <c r="G20" s="12">
        <v>1016.6094144110001</v>
      </c>
      <c r="H20" s="12">
        <v>894.04862507399992</v>
      </c>
      <c r="I20" s="12">
        <v>741.15327475200002</v>
      </c>
      <c r="J20" s="12">
        <v>764.68382372099995</v>
      </c>
      <c r="K20" s="12">
        <v>846.03077585400001</v>
      </c>
      <c r="L20" s="12">
        <v>709.37845987900005</v>
      </c>
      <c r="M20" s="12">
        <v>756.935197507</v>
      </c>
      <c r="N20" s="12">
        <f t="shared" si="0"/>
        <v>10326.170494046</v>
      </c>
      <c r="R20" s="25"/>
      <c r="U20" s="25"/>
    </row>
    <row r="21" spans="1:21" ht="13.5" customHeight="1" x14ac:dyDescent="0.35">
      <c r="A21" s="11" t="s">
        <v>29</v>
      </c>
      <c r="B21" s="12">
        <v>95.421773773000027</v>
      </c>
      <c r="C21" s="12">
        <v>32.797999505999996</v>
      </c>
      <c r="D21" s="12">
        <v>33.511023254000001</v>
      </c>
      <c r="E21" s="12">
        <v>32.641021369000001</v>
      </c>
      <c r="F21" s="12">
        <v>26.221</v>
      </c>
      <c r="G21" s="12">
        <v>38.483000000000004</v>
      </c>
      <c r="H21" s="12">
        <v>28.894397345999998</v>
      </c>
      <c r="I21" s="12">
        <v>49.573089546999995</v>
      </c>
      <c r="J21" s="12">
        <v>42.501999999999995</v>
      </c>
      <c r="K21" s="12">
        <v>47.653514000000001</v>
      </c>
      <c r="L21" s="12">
        <v>47.029119000000001</v>
      </c>
      <c r="M21" s="12">
        <v>57.841000000000001</v>
      </c>
      <c r="N21" s="12">
        <f t="shared" si="0"/>
        <v>532.56893779500001</v>
      </c>
      <c r="R21" s="25"/>
      <c r="U21" s="25"/>
    </row>
    <row r="22" spans="1:21" ht="37.5" customHeight="1" x14ac:dyDescent="0.35">
      <c r="A22" s="11" t="s">
        <v>30</v>
      </c>
      <c r="B22" s="12">
        <v>541.4352852799999</v>
      </c>
      <c r="C22" s="12">
        <v>561.74280849900003</v>
      </c>
      <c r="D22" s="12">
        <v>498.77894915899992</v>
      </c>
      <c r="E22" s="12">
        <v>281.59671452799995</v>
      </c>
      <c r="F22" s="12">
        <v>207.51805115600001</v>
      </c>
      <c r="G22" s="12">
        <v>209.636995337</v>
      </c>
      <c r="H22" s="12">
        <v>297.76428090599995</v>
      </c>
      <c r="I22" s="12">
        <v>411.00330529699994</v>
      </c>
      <c r="J22" s="12">
        <v>571.29176188899999</v>
      </c>
      <c r="K22" s="12">
        <v>504.7589544540001</v>
      </c>
      <c r="L22" s="12">
        <v>544.53386700399994</v>
      </c>
      <c r="M22" s="12">
        <v>673.28525993500011</v>
      </c>
      <c r="N22" s="12">
        <f t="shared" si="0"/>
        <v>5303.3462334439992</v>
      </c>
      <c r="R22" s="25"/>
      <c r="U22" s="25"/>
    </row>
    <row r="23" spans="1:21" x14ac:dyDescent="0.35">
      <c r="A23" s="11" t="s">
        <v>31</v>
      </c>
      <c r="B23" s="12">
        <v>1226.1217930331807</v>
      </c>
      <c r="C23" s="12">
        <v>1266.8848612517797</v>
      </c>
      <c r="D23" s="12">
        <v>1199.1480864573998</v>
      </c>
      <c r="E23" s="12">
        <v>1296.3254374425001</v>
      </c>
      <c r="F23" s="12">
        <v>1243.529504486535</v>
      </c>
      <c r="G23" s="12">
        <v>1131.3483742005001</v>
      </c>
      <c r="H23" s="12">
        <v>1211.3644128322999</v>
      </c>
      <c r="I23" s="12">
        <v>1254.5607841456062</v>
      </c>
      <c r="J23" s="12">
        <v>1312.1118807478001</v>
      </c>
      <c r="K23" s="12">
        <v>1315.8943387162001</v>
      </c>
      <c r="L23" s="12">
        <v>1190.4242240838998</v>
      </c>
      <c r="M23" s="12">
        <v>1315.7175399999999</v>
      </c>
      <c r="N23" s="12">
        <f t="shared" si="0"/>
        <v>14963.431237397699</v>
      </c>
      <c r="R23" s="25"/>
      <c r="U23" s="25"/>
    </row>
    <row r="24" spans="1:21" x14ac:dyDescent="0.35">
      <c r="A24" s="11" t="s">
        <v>32</v>
      </c>
      <c r="B24" s="12">
        <v>2930.923274451</v>
      </c>
      <c r="C24" s="12">
        <v>2738.0600836980002</v>
      </c>
      <c r="D24" s="12">
        <v>2779.2305072919994</v>
      </c>
      <c r="E24" s="12">
        <v>3041.7136607918128</v>
      </c>
      <c r="F24" s="12">
        <v>2893.7448480367948</v>
      </c>
      <c r="G24" s="12">
        <v>3279.4371591522054</v>
      </c>
      <c r="H24" s="12">
        <v>2940.5702650617941</v>
      </c>
      <c r="I24" s="12">
        <v>3005.405328756</v>
      </c>
      <c r="J24" s="12">
        <v>2968.8657210752999</v>
      </c>
      <c r="K24" s="12">
        <v>2749.5570424419998</v>
      </c>
      <c r="L24" s="12">
        <v>2621.747205571</v>
      </c>
      <c r="M24" s="12">
        <v>2803.4190390410004</v>
      </c>
      <c r="N24" s="12">
        <f t="shared" si="0"/>
        <v>34752.674135368899</v>
      </c>
      <c r="R24" s="25"/>
      <c r="U24" s="25"/>
    </row>
    <row r="25" spans="1:21" x14ac:dyDescent="0.35">
      <c r="A25" s="10" t="s">
        <v>33</v>
      </c>
      <c r="B25" s="13">
        <f t="shared" ref="B25:I25" si="1">SUM(B10:B24)</f>
        <v>23367.722305133921</v>
      </c>
      <c r="C25" s="13">
        <f t="shared" si="1"/>
        <v>24019.653203254726</v>
      </c>
      <c r="D25" s="13">
        <f t="shared" si="1"/>
        <v>22724.656979283416</v>
      </c>
      <c r="E25" s="13">
        <f t="shared" si="1"/>
        <v>24379.850089349296</v>
      </c>
      <c r="F25" s="13">
        <f t="shared" si="1"/>
        <v>22703.255338967741</v>
      </c>
      <c r="G25" s="13">
        <f t="shared" si="1"/>
        <v>22724.393212879568</v>
      </c>
      <c r="H25" s="13">
        <f t="shared" si="1"/>
        <v>22956.670081489308</v>
      </c>
      <c r="I25" s="13">
        <f t="shared" si="1"/>
        <v>23390.581390869927</v>
      </c>
      <c r="J25" s="13">
        <f>SUM(J10:J24)</f>
        <v>25184.15170140965</v>
      </c>
      <c r="K25" s="13">
        <f>SUM(K10:K24)</f>
        <v>24872.070529267898</v>
      </c>
      <c r="L25" s="13">
        <f>SUM(L10:L24)</f>
        <v>22558.264890090952</v>
      </c>
      <c r="M25" s="13">
        <f>SUM(M10:M24)</f>
        <v>24889.378930798874</v>
      </c>
      <c r="N25" s="13">
        <f>SUM(N10:N24)</f>
        <v>283770.64865279524</v>
      </c>
      <c r="P25" s="25"/>
      <c r="R25" s="25"/>
      <c r="T25" s="25"/>
      <c r="U25" s="25"/>
    </row>
    <row r="26" spans="1:21" x14ac:dyDescent="0.35">
      <c r="A26" s="11" t="s">
        <v>34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27"/>
    </row>
    <row r="27" spans="1:21" x14ac:dyDescent="0.35">
      <c r="A27" s="11" t="s">
        <v>35</v>
      </c>
      <c r="B27" s="13">
        <v>23087.469302133926</v>
      </c>
      <c r="C27" s="13">
        <v>23718.257493254714</v>
      </c>
      <c r="D27" s="13">
        <v>22426.747297283418</v>
      </c>
      <c r="E27" s="13">
        <v>24064.189998349288</v>
      </c>
      <c r="F27" s="13">
        <v>22408.300191967734</v>
      </c>
      <c r="G27" s="13">
        <v>22425.600633879556</v>
      </c>
      <c r="H27" s="13">
        <v>22659.522072489297</v>
      </c>
      <c r="I27" s="13">
        <v>23125.585651869926</v>
      </c>
      <c r="J27" s="13">
        <v>24917.210422409644</v>
      </c>
      <c r="K27" s="13">
        <v>24616.55590626788</v>
      </c>
      <c r="L27" s="13">
        <v>22346.695540090954</v>
      </c>
      <c r="M27" s="13">
        <v>24656.112793798882</v>
      </c>
      <c r="N27" s="27">
        <f>SUM(B27:M27)</f>
        <v>280452.24730379524</v>
      </c>
      <c r="O27" s="25"/>
    </row>
    <row r="28" spans="1:21" x14ac:dyDescent="0.35">
      <c r="A28" s="11"/>
      <c r="B28" s="12"/>
      <c r="C28" s="12"/>
      <c r="D28" s="12"/>
      <c r="E28" s="21"/>
      <c r="F28" s="12"/>
      <c r="G28" s="12"/>
      <c r="H28" s="12"/>
      <c r="I28" s="12"/>
      <c r="J28" s="12"/>
      <c r="K28" s="12"/>
      <c r="L28" s="12"/>
      <c r="M28" s="12"/>
      <c r="N28" s="27"/>
      <c r="O28" s="25"/>
    </row>
    <row r="29" spans="1:21" x14ac:dyDescent="0.35">
      <c r="A29" s="11" t="s">
        <v>36</v>
      </c>
      <c r="B29" s="13">
        <v>280.25300300000004</v>
      </c>
      <c r="C29" s="13">
        <v>301.39571000000001</v>
      </c>
      <c r="D29" s="13">
        <v>297.90968199999998</v>
      </c>
      <c r="E29" s="13">
        <v>315.66009099999997</v>
      </c>
      <c r="F29" s="13">
        <v>294.9551469999999</v>
      </c>
      <c r="G29" s="13">
        <v>298.79257899999999</v>
      </c>
      <c r="H29" s="13">
        <v>297.148009</v>
      </c>
      <c r="I29" s="13">
        <v>264.99573900000007</v>
      </c>
      <c r="J29" s="13">
        <v>266.94127900000007</v>
      </c>
      <c r="K29" s="13">
        <v>255.514623</v>
      </c>
      <c r="L29" s="13">
        <v>211.56934999999999</v>
      </c>
      <c r="M29" s="13">
        <v>233.26613700000004</v>
      </c>
      <c r="N29" s="27">
        <f>SUM(B29:M29)</f>
        <v>3318.4013490000002</v>
      </c>
      <c r="O29" s="25"/>
    </row>
    <row r="30" spans="1:21" x14ac:dyDescent="0.35">
      <c r="A30" s="14"/>
      <c r="B30" s="15">
        <f t="shared" ref="B30:N30" si="2">+B27+B29</f>
        <v>23367.722305133928</v>
      </c>
      <c r="C30" s="15">
        <f t="shared" si="2"/>
        <v>24019.653203254715</v>
      </c>
      <c r="D30" s="15">
        <f t="shared" si="2"/>
        <v>22724.65697928342</v>
      </c>
      <c r="E30" s="15">
        <f t="shared" si="2"/>
        <v>24379.850089349289</v>
      </c>
      <c r="F30" s="15">
        <f t="shared" si="2"/>
        <v>22703.255338967734</v>
      </c>
      <c r="G30" s="15">
        <f t="shared" si="2"/>
        <v>22724.393212879557</v>
      </c>
      <c r="H30" s="15">
        <f t="shared" si="2"/>
        <v>22956.670081489297</v>
      </c>
      <c r="I30" s="15">
        <f t="shared" si="2"/>
        <v>23390.581390869927</v>
      </c>
      <c r="J30" s="15">
        <f t="shared" si="2"/>
        <v>25184.151701409643</v>
      </c>
      <c r="K30" s="15">
        <f t="shared" si="2"/>
        <v>24872.070529267879</v>
      </c>
      <c r="L30" s="15">
        <f t="shared" si="2"/>
        <v>22558.264890090955</v>
      </c>
      <c r="M30" s="15">
        <f t="shared" si="2"/>
        <v>24889.378930798881</v>
      </c>
      <c r="N30" s="27">
        <f t="shared" si="2"/>
        <v>283770.64865279524</v>
      </c>
      <c r="O30" s="25"/>
    </row>
    <row r="31" spans="1:21" x14ac:dyDescent="0.35">
      <c r="A31" s="16" t="s">
        <v>15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28"/>
    </row>
    <row r="32" spans="1:21" x14ac:dyDescent="0.35">
      <c r="A32" s="22" t="s">
        <v>37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4"/>
      <c r="O32" s="25"/>
    </row>
    <row r="33" spans="2:15" x14ac:dyDescent="0.3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x14ac:dyDescent="0.35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x14ac:dyDescent="0.3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x14ac:dyDescent="0.35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2:15" x14ac:dyDescent="0.35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2:15" x14ac:dyDescent="0.35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2:15" x14ac:dyDescent="0.35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2:15" x14ac:dyDescent="0.35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pans="2:15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pans="2:15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2:15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</sheetData>
  <mergeCells count="6">
    <mergeCell ref="C2:H2"/>
    <mergeCell ref="A32:N32"/>
    <mergeCell ref="A31:N31"/>
    <mergeCell ref="A2:B6"/>
    <mergeCell ref="I7:N7"/>
    <mergeCell ref="A8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Dwivedi | Broadway Infotech</dc:creator>
  <cp:lastModifiedBy>Mohit Kumar Dwivedi | Broadway Infotech</cp:lastModifiedBy>
  <dcterms:created xsi:type="dcterms:W3CDTF">2025-10-28T08:53:38Z</dcterms:created>
  <dcterms:modified xsi:type="dcterms:W3CDTF">2025-10-28T09:00:02Z</dcterms:modified>
</cp:coreProperties>
</file>